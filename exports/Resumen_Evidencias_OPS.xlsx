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  <font>
      <name val="Aptos"/>
      <b val="1"/>
      <color rgb="0080520C"/>
      <sz val="9"/>
    </font>
  </fonts>
  <fills count="8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  <fill>
      <patternFill patternType="solid">
        <fgColor rgb="00FFF0D5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30/08/2026 17:01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56</v>
      </c>
      <c r="C6" s="4" t="n">
        <v>663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15</v>
      </c>
      <c r="E10" s="8" t="n">
        <v>84</v>
      </c>
      <c r="F10" s="9">
        <f>IFERROR(D10/(D10+E10),0)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18</v>
      </c>
      <c r="E11" s="12" t="n">
        <v>112</v>
      </c>
      <c r="F11" s="13">
        <f>IFERROR(D11/(D11+E11),0)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10</v>
      </c>
      <c r="E12" s="8" t="n">
        <v>120</v>
      </c>
      <c r="F12" s="9">
        <f>IFERROR(D12/(D12+E12),0)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Yazmin Garcia</t>
        </is>
      </c>
      <c r="C13" s="11" t="n">
        <v>13</v>
      </c>
      <c r="D13" s="11" t="n">
        <v>8</v>
      </c>
      <c r="E13" s="12" t="n">
        <v>122</v>
      </c>
      <c r="F13" s="13">
        <f>IFERROR(D13/(D13+E13),0)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Nancy Carolina</t>
        </is>
      </c>
      <c r="C14" s="7" t="n">
        <v>12</v>
      </c>
      <c r="D14" s="7" t="n">
        <v>3</v>
      </c>
      <c r="E14" s="8" t="n">
        <v>117</v>
      </c>
      <c r="F14" s="9">
        <f>IFERROR(D14/(D14+E14),0)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Veronica Garcia</t>
        </is>
      </c>
      <c r="C15" s="11" t="n">
        <v>11</v>
      </c>
      <c r="D15" s="11" t="n">
        <v>2</v>
      </c>
      <c r="E15" s="12" t="n">
        <v>108</v>
      </c>
      <c r="F15" s="13">
        <f>IFERROR(D15/(D15+E15),0)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30/08/2026 17:01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5</v>
      </c>
      <c r="F5" s="11" t="n">
        <v>5</v>
      </c>
      <c r="G5" s="13">
        <f>IFERROR(E5/(E5+F5),0)</f>
        <v/>
      </c>
      <c r="H5" s="15" t="inlineStr">
        <is>
          <t>Seguimiento</t>
        </is>
      </c>
    </row>
    <row r="6" ht="21" customHeight="1">
      <c r="A6" s="7" t="n">
        <v>2</v>
      </c>
      <c r="B6" s="16" t="inlineStr">
        <is>
          <t>38695</t>
        </is>
      </c>
      <c r="C6" s="8" t="inlineStr">
        <is>
          <t>Cetram 4 Caminos</t>
        </is>
      </c>
      <c r="D6" s="8" t="inlineStr">
        <is>
          <t>Yazmin Chabela Guadarrama</t>
        </is>
      </c>
      <c r="E6" s="7" t="n">
        <v>4</v>
      </c>
      <c r="F6" s="7" t="n">
        <v>6</v>
      </c>
      <c r="G6" s="9">
        <f>IFERROR(E6/(E6+F6),0)</f>
        <v/>
      </c>
      <c r="H6" s="15" t="inlineStr">
        <is>
          <t>Seguimiento</t>
        </is>
      </c>
    </row>
    <row r="7" ht="21" customHeight="1">
      <c r="A7" s="11" t="n">
        <v>3</v>
      </c>
      <c r="B7" s="14" t="inlineStr">
        <is>
          <t>38894</t>
        </is>
      </c>
      <c r="C7" s="12" t="inlineStr">
        <is>
          <t>Galerias Perinorte</t>
        </is>
      </c>
      <c r="D7" s="12" t="inlineStr">
        <is>
          <t>Enrique Cesar Flores</t>
        </is>
      </c>
      <c r="E7" s="11" t="n">
        <v>3</v>
      </c>
      <c r="F7" s="11" t="n">
        <v>7</v>
      </c>
      <c r="G7" s="13">
        <f>IFERROR(E7/(E7+F7),0)</f>
        <v/>
      </c>
      <c r="H7" s="10" t="inlineStr">
        <is>
          <t>Atención</t>
        </is>
      </c>
    </row>
    <row r="8" ht="21" customHeight="1">
      <c r="A8" s="7" t="n">
        <v>4</v>
      </c>
      <c r="B8" s="16" t="inlineStr">
        <is>
          <t>38339</t>
        </is>
      </c>
      <c r="C8" s="8" t="inlineStr">
        <is>
          <t>San Marcos</t>
        </is>
      </c>
      <c r="D8" s="8" t="inlineStr">
        <is>
          <t>Enrique Cesar Flores</t>
        </is>
      </c>
      <c r="E8" s="7" t="n">
        <v>3</v>
      </c>
      <c r="F8" s="7" t="n">
        <v>7</v>
      </c>
      <c r="G8" s="9">
        <f>IFERROR(E8/(E8+F8),0)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38862</t>
        </is>
      </c>
      <c r="C9" s="12" t="inlineStr">
        <is>
          <t>San Miguel Izcalli</t>
        </is>
      </c>
      <c r="D9" s="12" t="inlineStr">
        <is>
          <t>Enrique Cesar Flores</t>
        </is>
      </c>
      <c r="E9" s="11" t="n">
        <v>3</v>
      </c>
      <c r="F9" s="11" t="n">
        <v>7</v>
      </c>
      <c r="G9" s="13">
        <f>IFERROR(E9/(E9+F9),0)</f>
        <v/>
      </c>
      <c r="H9" s="10" t="inlineStr">
        <is>
          <t>Atención</t>
        </is>
      </c>
    </row>
    <row r="10" ht="21" customHeight="1">
      <c r="A10" s="7" t="n">
        <v>6</v>
      </c>
      <c r="B10" s="16" t="inlineStr">
        <is>
          <t>38333</t>
        </is>
      </c>
      <c r="C10" s="8" t="inlineStr">
        <is>
          <t>Izcalli Mega</t>
        </is>
      </c>
      <c r="D10" s="8" t="inlineStr">
        <is>
          <t>Enrique Cesar Flores</t>
        </is>
      </c>
      <c r="E10" s="7" t="n">
        <v>2</v>
      </c>
      <c r="F10" s="7" t="n">
        <v>8</v>
      </c>
      <c r="G10" s="9">
        <f>IFERROR(E10/(E10+F10),0)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38368</t>
        </is>
      </c>
      <c r="C11" s="12" t="inlineStr">
        <is>
          <t>Luna Park</t>
        </is>
      </c>
      <c r="D11" s="12" t="inlineStr">
        <is>
          <t>Enrique Cesar Flores</t>
        </is>
      </c>
      <c r="E11" s="11" t="n">
        <v>2</v>
      </c>
      <c r="F11" s="11" t="n">
        <v>8</v>
      </c>
      <c r="G11" s="13">
        <f>IFERROR(E11/(E11+F11),0)</f>
        <v/>
      </c>
      <c r="H11" s="10" t="inlineStr">
        <is>
          <t>Atención</t>
        </is>
      </c>
    </row>
    <row r="12" ht="21" customHeight="1">
      <c r="A12" s="7" t="n">
        <v>8</v>
      </c>
      <c r="B12" s="16" t="inlineStr">
        <is>
          <t>38606</t>
        </is>
      </c>
      <c r="C12" s="8" t="inlineStr">
        <is>
          <t>TlalnepantlaCarso</t>
        </is>
      </c>
      <c r="D12" s="8" t="inlineStr">
        <is>
          <t>Nancy Carolina Rodriguez Medina</t>
        </is>
      </c>
      <c r="E12" s="7" t="n">
        <v>2</v>
      </c>
      <c r="F12" s="7" t="n">
        <v>8</v>
      </c>
      <c r="G12" s="9">
        <f>IFERROR(E12/(E12+F12),0)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43194</t>
        </is>
      </c>
      <c r="C13" s="12" t="inlineStr">
        <is>
          <t>Atana Lindavista</t>
        </is>
      </c>
      <c r="D13" s="12" t="inlineStr">
        <is>
          <t>Vanessa Carreño Rios</t>
        </is>
      </c>
      <c r="E13" s="11" t="n">
        <v>1</v>
      </c>
      <c r="F13" s="11" t="n">
        <v>9</v>
      </c>
      <c r="G13" s="13">
        <f>IFERROR(E13/(E13+F13),0)</f>
        <v/>
      </c>
      <c r="H13" s="10" t="inlineStr">
        <is>
          <t>Atención</t>
        </is>
      </c>
    </row>
    <row r="14" ht="21" customHeight="1">
      <c r="A14" s="7" t="n">
        <v>10</v>
      </c>
      <c r="B14" s="16" t="inlineStr">
        <is>
          <t>38149</t>
        </is>
      </c>
      <c r="C14" s="8" t="inlineStr">
        <is>
          <t>Bellavista</t>
        </is>
      </c>
      <c r="D14" s="8" t="inlineStr">
        <is>
          <t>Yazmin Haydee Garcia Gonzalez</t>
        </is>
      </c>
      <c r="E14" s="7" t="n">
        <v>1</v>
      </c>
      <c r="F14" s="7" t="n">
        <v>9</v>
      </c>
      <c r="G14" s="9">
        <f>IFERROR(E14/(E14+F14),0)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38527</t>
        </is>
      </c>
      <c r="C15" s="12" t="inlineStr">
        <is>
          <t>Camarones</t>
        </is>
      </c>
      <c r="D15" s="12" t="inlineStr">
        <is>
          <t>Vanessa Carreño Rios</t>
        </is>
      </c>
      <c r="E15" s="11" t="n">
        <v>1</v>
      </c>
      <c r="F15" s="11" t="n">
        <v>9</v>
      </c>
      <c r="G15" s="13">
        <f>IFERROR(E15/(E15+F15),0)</f>
        <v/>
      </c>
      <c r="H15" s="10" t="inlineStr">
        <is>
          <t>Atención</t>
        </is>
      </c>
    </row>
    <row r="16" ht="21" customHeight="1">
      <c r="A16" s="7" t="n">
        <v>12</v>
      </c>
      <c r="B16" s="16" t="inlineStr">
        <is>
          <t>38394</t>
        </is>
      </c>
      <c r="C16" s="8" t="inlineStr">
        <is>
          <t>Centro Comercial Lomas Verdes</t>
        </is>
      </c>
      <c r="D16" s="8" t="inlineStr">
        <is>
          <t>Yazmin Haydee Garcia Gonzalez</t>
        </is>
      </c>
      <c r="E16" s="7" t="n">
        <v>1</v>
      </c>
      <c r="F16" s="7" t="n">
        <v>9</v>
      </c>
      <c r="G16" s="9">
        <f>IFERROR(E16/(E16+F16),0)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1</v>
      </c>
      <c r="F17" s="11" t="n">
        <v>9</v>
      </c>
      <c r="G17" s="13">
        <f>IFERROR(E17/(E17+F17),0)</f>
        <v/>
      </c>
      <c r="H17" s="10" t="inlineStr">
        <is>
          <t>Atención</t>
        </is>
      </c>
    </row>
    <row r="18" ht="21" customHeight="1">
      <c r="A18" s="7" t="n">
        <v>14</v>
      </c>
      <c r="B18" s="16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1</v>
      </c>
      <c r="F18" s="7" t="n">
        <v>9</v>
      </c>
      <c r="G18" s="9">
        <f>IFERROR(E18/(E18+F18),0)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38197</t>
        </is>
      </c>
      <c r="C19" s="12" t="inlineStr">
        <is>
          <t>Echegaray</t>
        </is>
      </c>
      <c r="D19" s="12" t="inlineStr">
        <is>
          <t>Yazmin Chabela Guadarrama</t>
        </is>
      </c>
      <c r="E19" s="11" t="n">
        <v>1</v>
      </c>
      <c r="F19" s="11" t="n">
        <v>9</v>
      </c>
      <c r="G19" s="13">
        <f>IFERROR(E19/(E19+F19),0)</f>
        <v/>
      </c>
      <c r="H19" s="10" t="inlineStr">
        <is>
          <t>Atención</t>
        </is>
      </c>
    </row>
    <row r="20" ht="21" customHeight="1">
      <c r="A20" s="7" t="n">
        <v>16</v>
      </c>
      <c r="B20" s="16" t="inlineStr">
        <is>
          <t>38431</t>
        </is>
      </c>
      <c r="C20" s="8" t="inlineStr">
        <is>
          <t>Eduardo Molina</t>
        </is>
      </c>
      <c r="D20" s="8" t="inlineStr">
        <is>
          <t>Veronica Garcia Ortega</t>
        </is>
      </c>
      <c r="E20" s="7" t="n">
        <v>1</v>
      </c>
      <c r="F20" s="7" t="n">
        <v>9</v>
      </c>
      <c r="G20" s="9">
        <f>IFERROR(E20/(E20+F20),0)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1</v>
      </c>
      <c r="F21" s="11" t="n">
        <v>9</v>
      </c>
      <c r="G21" s="13">
        <f>IFERROR(E21/(E21+F21),0)</f>
        <v/>
      </c>
      <c r="H21" s="10" t="inlineStr">
        <is>
          <t>Atención</t>
        </is>
      </c>
    </row>
    <row r="22" ht="21" customHeight="1">
      <c r="A22" s="7" t="n">
        <v>18</v>
      </c>
      <c r="B22" s="16" t="inlineStr">
        <is>
          <t>38363</t>
        </is>
      </c>
      <c r="C22" s="8" t="inlineStr">
        <is>
          <t>Galerias Atizapan</t>
        </is>
      </c>
      <c r="D22" s="8" t="inlineStr">
        <is>
          <t>Yazmin Haydee Garcia Gonzalez</t>
        </is>
      </c>
      <c r="E22" s="7" t="n">
        <v>1</v>
      </c>
      <c r="F22" s="7" t="n">
        <v>9</v>
      </c>
      <c r="G22" s="9">
        <f>IFERROR(E22/(E22+F22),0)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1</v>
      </c>
      <c r="F23" s="11" t="n">
        <v>9</v>
      </c>
      <c r="G23" s="13">
        <f>IFERROR(E23/(E23+F23),0)</f>
        <v/>
      </c>
      <c r="H23" s="10" t="inlineStr">
        <is>
          <t>Atención</t>
        </is>
      </c>
    </row>
    <row r="24" ht="21" customHeight="1">
      <c r="A24" s="7" t="n">
        <v>20</v>
      </c>
      <c r="B24" s="16" t="inlineStr">
        <is>
          <t>38661</t>
        </is>
      </c>
      <c r="C24" s="8" t="inlineStr">
        <is>
          <t>Jinetes</t>
        </is>
      </c>
      <c r="D24" s="8" t="inlineStr">
        <is>
          <t>Nancy Carolina Rodriguez Medina</t>
        </is>
      </c>
      <c r="E24" s="7" t="n">
        <v>1</v>
      </c>
      <c r="F24" s="7" t="n">
        <v>9</v>
      </c>
      <c r="G24" s="9">
        <f>IFERROR(E24/(E24+F24),0)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38205</t>
        </is>
      </c>
      <c r="C25" s="12" t="inlineStr">
        <is>
          <t>Lindavista</t>
        </is>
      </c>
      <c r="D25" s="12" t="inlineStr">
        <is>
          <t>Vanessa Carreño Rios</t>
        </is>
      </c>
      <c r="E25" s="11" t="n">
        <v>1</v>
      </c>
      <c r="F25" s="11" t="n">
        <v>9</v>
      </c>
      <c r="G25" s="13">
        <f>IFERROR(E25/(E25+F25),0)</f>
        <v/>
      </c>
      <c r="H25" s="10" t="inlineStr">
        <is>
          <t>Atención</t>
        </is>
      </c>
    </row>
    <row r="26" ht="21" customHeight="1">
      <c r="A26" s="7" t="n">
        <v>22</v>
      </c>
      <c r="B26" s="16" t="inlineStr">
        <is>
          <t>38119</t>
        </is>
      </c>
      <c r="C26" s="8" t="inlineStr">
        <is>
          <t>Lomas Verdes</t>
        </is>
      </c>
      <c r="D26" s="8" t="inlineStr">
        <is>
          <t>Yazmin Haydee Garcia Gonzalez</t>
        </is>
      </c>
      <c r="E26" s="7" t="n">
        <v>1</v>
      </c>
      <c r="F26" s="7" t="n">
        <v>9</v>
      </c>
      <c r="G26" s="9">
        <f>IFERROR(E26/(E26+F26),0)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43111</t>
        </is>
      </c>
      <c r="C27" s="12" t="inlineStr">
        <is>
          <t>Montevideo Insurgentes</t>
        </is>
      </c>
      <c r="D27" s="12" t="inlineStr">
        <is>
          <t>Vanessa Carreño Rios</t>
        </is>
      </c>
      <c r="E27" s="11" t="n">
        <v>1</v>
      </c>
      <c r="F27" s="11" t="n">
        <v>9</v>
      </c>
      <c r="G27" s="13">
        <f>IFERROR(E27/(E27+F27),0)</f>
        <v/>
      </c>
      <c r="H27" s="10" t="inlineStr">
        <is>
          <t>Atención</t>
        </is>
      </c>
    </row>
    <row r="28" ht="21" customHeight="1">
      <c r="A28" s="7" t="n">
        <v>24</v>
      </c>
      <c r="B28" s="16" t="inlineStr">
        <is>
          <t>43195</t>
        </is>
      </c>
      <c r="C28" s="8" t="inlineStr">
        <is>
          <t>Parque Jadin kiosko</t>
        </is>
      </c>
      <c r="D28" s="8" t="inlineStr">
        <is>
          <t>Vanessa Carreño Rios</t>
        </is>
      </c>
      <c r="E28" s="7" t="n">
        <v>1</v>
      </c>
      <c r="F28" s="7" t="n">
        <v>9</v>
      </c>
      <c r="G28" s="9">
        <f>IFERROR(E28/(E28+F28),0)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38937</t>
        </is>
      </c>
      <c r="C29" s="12" t="inlineStr">
        <is>
          <t>Parque Tepeyac Piso 1</t>
        </is>
      </c>
      <c r="D29" s="12" t="inlineStr">
        <is>
          <t>Veronica Garcia Ortega</t>
        </is>
      </c>
      <c r="E29" s="11" t="n">
        <v>1</v>
      </c>
      <c r="F29" s="11" t="n">
        <v>9</v>
      </c>
      <c r="G29" s="13">
        <f>IFERROR(E29/(E29+F29),0)</f>
        <v/>
      </c>
      <c r="H29" s="10" t="inlineStr">
        <is>
          <t>Atención</t>
        </is>
      </c>
    </row>
    <row r="30" ht="21" customHeight="1">
      <c r="A30" s="7" t="n">
        <v>26</v>
      </c>
      <c r="B30" s="16" t="inlineStr">
        <is>
          <t>38590</t>
        </is>
      </c>
      <c r="C30" s="8" t="inlineStr">
        <is>
          <t>Parque Toreo II</t>
        </is>
      </c>
      <c r="D30" s="8" t="inlineStr">
        <is>
          <t>Yazmin Chabela Guadarrama</t>
        </is>
      </c>
      <c r="E30" s="7" t="n">
        <v>1</v>
      </c>
      <c r="F30" s="7" t="n">
        <v>9</v>
      </c>
      <c r="G30" s="9">
        <f>IFERROR(E30/(E30+F30),0)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38546</t>
        </is>
      </c>
      <c r="C31" s="12" t="inlineStr">
        <is>
          <t>Patio Claveria</t>
        </is>
      </c>
      <c r="D31" s="12" t="inlineStr">
        <is>
          <t>Vanessa Carreño Rios</t>
        </is>
      </c>
      <c r="E31" s="11" t="n">
        <v>1</v>
      </c>
      <c r="F31" s="11" t="n">
        <v>9</v>
      </c>
      <c r="G31" s="13">
        <f>IFERROR(E31/(E31+F31),0)</f>
        <v/>
      </c>
      <c r="H31" s="10" t="inlineStr">
        <is>
          <t>Atención</t>
        </is>
      </c>
    </row>
    <row r="32" ht="21" customHeight="1">
      <c r="A32" s="7" t="n">
        <v>28</v>
      </c>
      <c r="B32" s="16" t="inlineStr">
        <is>
          <t>38677</t>
        </is>
      </c>
      <c r="C32" s="8" t="inlineStr">
        <is>
          <t>Patio la Raza</t>
        </is>
      </c>
      <c r="D32" s="8" t="inlineStr">
        <is>
          <t>Vanessa Carreño Rios</t>
        </is>
      </c>
      <c r="E32" s="7" t="n">
        <v>1</v>
      </c>
      <c r="F32" s="7" t="n">
        <v>9</v>
      </c>
      <c r="G32" s="9">
        <f>IFERROR(E32/(E32+F32),0)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38427</t>
        </is>
      </c>
      <c r="C33" s="12" t="inlineStr">
        <is>
          <t>Plaza Satelite</t>
        </is>
      </c>
      <c r="D33" s="12" t="inlineStr">
        <is>
          <t>Yazmin Chabela Guadarrama</t>
        </is>
      </c>
      <c r="E33" s="11" t="n">
        <v>1</v>
      </c>
      <c r="F33" s="11" t="n">
        <v>9</v>
      </c>
      <c r="G33" s="13">
        <f>IFERROR(E33/(E33+F33),0)</f>
        <v/>
      </c>
      <c r="H33" s="10" t="inlineStr">
        <is>
          <t>Atención</t>
        </is>
      </c>
    </row>
    <row r="34" ht="21" customHeight="1">
      <c r="A34" s="7" t="n">
        <v>30</v>
      </c>
      <c r="B34" s="16" t="inlineStr">
        <is>
          <t>43132</t>
        </is>
      </c>
      <c r="C34" s="8" t="inlineStr">
        <is>
          <t>Plaza Vista Norte</t>
        </is>
      </c>
      <c r="D34" s="8" t="inlineStr">
        <is>
          <t>Vanessa Carreño Rios</t>
        </is>
      </c>
      <c r="E34" s="7" t="n">
        <v>1</v>
      </c>
      <c r="F34" s="7" t="n">
        <v>9</v>
      </c>
      <c r="G34" s="9">
        <f>IFERROR(E34/(E34+F34),0)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1</v>
      </c>
      <c r="F35" s="11" t="n">
        <v>9</v>
      </c>
      <c r="G35" s="13">
        <f>IFERROR(E35/(E35+F35),0)</f>
        <v/>
      </c>
      <c r="H35" s="10" t="inlineStr">
        <is>
          <t>Atención</t>
        </is>
      </c>
    </row>
    <row r="36" ht="21" customHeight="1">
      <c r="A36" s="7" t="n">
        <v>32</v>
      </c>
      <c r="B36" s="16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1</v>
      </c>
      <c r="F36" s="7" t="n">
        <v>9</v>
      </c>
      <c r="G36" s="9">
        <f>IFERROR(E36/(E36+F36),0)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38266</t>
        </is>
      </c>
      <c r="C37" s="12" t="inlineStr">
        <is>
          <t>San Mateo</t>
        </is>
      </c>
      <c r="D37" s="12" t="inlineStr">
        <is>
          <t>Yazmin Haydee Garcia Gonzalez</t>
        </is>
      </c>
      <c r="E37" s="11" t="n">
        <v>1</v>
      </c>
      <c r="F37" s="11" t="n">
        <v>9</v>
      </c>
      <c r="G37" s="13">
        <f>IFERROR(E37/(E37+F37),0)</f>
        <v/>
      </c>
      <c r="H37" s="10" t="inlineStr">
        <is>
          <t>Atención</t>
        </is>
      </c>
    </row>
    <row r="38" ht="21" customHeight="1">
      <c r="A38" s="7" t="n">
        <v>34</v>
      </c>
      <c r="B38" s="16" t="inlineStr">
        <is>
          <t>38117</t>
        </is>
      </c>
      <c r="C38" s="8" t="inlineStr">
        <is>
          <t>Satelite</t>
        </is>
      </c>
      <c r="D38" s="8" t="inlineStr">
        <is>
          <t>Yazmin Chabela Guadarrama</t>
        </is>
      </c>
      <c r="E38" s="7" t="n">
        <v>1</v>
      </c>
      <c r="F38" s="7" t="n">
        <v>9</v>
      </c>
      <c r="G38" s="9">
        <f>IFERROR(E38/(E38+F38),0)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38475</t>
        </is>
      </c>
      <c r="C39" s="12" t="inlineStr">
        <is>
          <t>Satelite Centro Civico</t>
        </is>
      </c>
      <c r="D39" s="12" t="inlineStr">
        <is>
          <t>Yazmin Chabela Guadarrama</t>
        </is>
      </c>
      <c r="E39" s="11" t="n">
        <v>1</v>
      </c>
      <c r="F39" s="11" t="n">
        <v>9</v>
      </c>
      <c r="G39" s="13">
        <f>IFERROR(E39/(E39+F39),0)</f>
        <v/>
      </c>
      <c r="H39" s="10" t="inlineStr">
        <is>
          <t>Atención</t>
        </is>
      </c>
    </row>
    <row r="40" ht="21" customHeight="1">
      <c r="A40" s="7" t="n">
        <v>36</v>
      </c>
      <c r="B40" s="16" t="inlineStr">
        <is>
          <t>38925</t>
        </is>
      </c>
      <c r="C40" s="8" t="inlineStr">
        <is>
          <t>Star Medica Lomas Verdes</t>
        </is>
      </c>
      <c r="D40" s="8" t="inlineStr">
        <is>
          <t>Yazmin Haydee Garcia Gonzalez</t>
        </is>
      </c>
      <c r="E40" s="7" t="n">
        <v>1</v>
      </c>
      <c r="F40" s="7" t="n">
        <v>9</v>
      </c>
      <c r="G40" s="9">
        <f>IFERROR(E40/(E40+F40),0)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38411</t>
        </is>
      </c>
      <c r="C41" s="12" t="inlineStr">
        <is>
          <t>Torres Lindavista</t>
        </is>
      </c>
      <c r="D41" s="12" t="inlineStr">
        <is>
          <t>Vanessa Carreño Rios</t>
        </is>
      </c>
      <c r="E41" s="11" t="n">
        <v>1</v>
      </c>
      <c r="F41" s="11" t="n">
        <v>9</v>
      </c>
      <c r="G41" s="13">
        <f>IFERROR(E41/(E41+F41),0)</f>
        <v/>
      </c>
      <c r="H41" s="10" t="inlineStr">
        <is>
          <t>Atención</t>
        </is>
      </c>
    </row>
    <row r="42" ht="21" customHeight="1">
      <c r="A42" s="7" t="n">
        <v>38</v>
      </c>
      <c r="B42" s="16" t="inlineStr">
        <is>
          <t>38651</t>
        </is>
      </c>
      <c r="C42" s="8" t="inlineStr">
        <is>
          <t>Via Vallejo</t>
        </is>
      </c>
      <c r="D42" s="8" t="inlineStr">
        <is>
          <t>Vanessa Carreño Rios</t>
        </is>
      </c>
      <c r="E42" s="7" t="n">
        <v>1</v>
      </c>
      <c r="F42" s="7" t="n">
        <v>9</v>
      </c>
      <c r="G42" s="9">
        <f>IFERROR(E42/(E42+F42),0)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38656</t>
        </is>
      </c>
      <c r="C43" s="12" t="inlineStr">
        <is>
          <t>Viveros de la Loma</t>
        </is>
      </c>
      <c r="D43" s="12" t="inlineStr">
        <is>
          <t>Yazmin Chabela Guadarrama</t>
        </is>
      </c>
      <c r="E43" s="11" t="n">
        <v>1</v>
      </c>
      <c r="F43" s="11" t="n">
        <v>9</v>
      </c>
      <c r="G43" s="13">
        <f>IFERROR(E43/(E43+F43),0)</f>
        <v/>
      </c>
      <c r="H43" s="10" t="inlineStr">
        <is>
          <t>Atención</t>
        </is>
      </c>
    </row>
    <row r="44" ht="21" customHeight="1">
      <c r="A44" s="7" t="n">
        <v>40</v>
      </c>
      <c r="B44" s="16" t="inlineStr">
        <is>
          <t>38142</t>
        </is>
      </c>
      <c r="C44" s="8" t="inlineStr">
        <is>
          <t>Zona Esmeralda</t>
        </is>
      </c>
      <c r="D44" s="8" t="inlineStr">
        <is>
          <t>Yazmin Haydee Garcia Gonzalez</t>
        </is>
      </c>
      <c r="E44" s="7" t="n">
        <v>1</v>
      </c>
      <c r="F44" s="7" t="n">
        <v>9</v>
      </c>
      <c r="G44" s="9">
        <f>IFERROR(E44/(E44+F44),0)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38186</t>
        </is>
      </c>
      <c r="C45" s="12" t="inlineStr">
        <is>
          <t>Arboledas</t>
        </is>
      </c>
      <c r="D45" s="12" t="inlineStr">
        <is>
          <t>Nancy Carolina Rodriguez Medina</t>
        </is>
      </c>
      <c r="E45" s="11" t="n">
        <v>0</v>
      </c>
      <c r="F45" s="11" t="n">
        <v>10</v>
      </c>
      <c r="G45" s="13">
        <f>IFERROR(E45/(E45+F45),0)</f>
        <v/>
      </c>
      <c r="H45" s="10" t="inlineStr">
        <is>
          <t>Atención</t>
        </is>
      </c>
    </row>
    <row r="46" ht="21" customHeight="1">
      <c r="A46" s="7" t="n">
        <v>42</v>
      </c>
      <c r="B46" s="16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0</v>
      </c>
      <c r="F46" s="7" t="n">
        <v>10</v>
      </c>
      <c r="G46" s="9">
        <f>IFERROR(E46/(E46+F46),0)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0</v>
      </c>
      <c r="F47" s="11" t="n">
        <v>10</v>
      </c>
      <c r="G47" s="13">
        <f>IFERROR(E47/(E47+F47),0)</f>
        <v/>
      </c>
      <c r="H47" s="10" t="inlineStr">
        <is>
          <t>Atención</t>
        </is>
      </c>
    </row>
    <row r="48" ht="21" customHeight="1">
      <c r="A48" s="7" t="n">
        <v>44</v>
      </c>
      <c r="B48" s="16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0</v>
      </c>
      <c r="F48" s="7" t="n">
        <v>10</v>
      </c>
      <c r="G48" s="9">
        <f>IFERROR(E48/(E48+F48),0)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38837</t>
        </is>
      </c>
      <c r="C49" s="12" t="inlineStr">
        <is>
          <t>Centenario Azcapotzalco</t>
        </is>
      </c>
      <c r="D49" s="12" t="inlineStr">
        <is>
          <t>Vanessa Carreño Rios</t>
        </is>
      </c>
      <c r="E49" s="11" t="n">
        <v>0</v>
      </c>
      <c r="F49" s="11" t="n">
        <v>10</v>
      </c>
      <c r="G49" s="13">
        <f>IFERROR(E49/(E49+F49),0)</f>
        <v/>
      </c>
      <c r="H49" s="10" t="inlineStr">
        <is>
          <t>Atención</t>
        </is>
      </c>
    </row>
    <row r="50" ht="21" customHeight="1">
      <c r="A50" s="7" t="n">
        <v>46</v>
      </c>
      <c r="B50" s="16" t="inlineStr">
        <is>
          <t>38401</t>
        </is>
      </c>
      <c r="C50" s="8" t="inlineStr">
        <is>
          <t>Coacalco</t>
        </is>
      </c>
      <c r="D50" s="8" t="inlineStr">
        <is>
          <t>Enrique Cesar Flores</t>
        </is>
      </c>
      <c r="E50" s="7" t="n">
        <v>0</v>
      </c>
      <c r="F50" s="7" t="n">
        <v>10</v>
      </c>
      <c r="G50" s="9">
        <f>IFERROR(E50/(E50+F50),0)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43193</t>
        </is>
      </c>
      <c r="C51" s="12" t="inlineStr">
        <is>
          <t>Cosmopol N1</t>
        </is>
      </c>
      <c r="D51" s="12" t="inlineStr">
        <is>
          <t>Enrique Cesar Flores</t>
        </is>
      </c>
      <c r="E51" s="11" t="n">
        <v>0</v>
      </c>
      <c r="F51" s="11" t="n">
        <v>9</v>
      </c>
      <c r="G51" s="13">
        <f>IFERROR(E51/(E51+F51),0)</f>
        <v/>
      </c>
      <c r="H51" s="10" t="inlineStr">
        <is>
          <t>Atención</t>
        </is>
      </c>
    </row>
    <row r="52" ht="21" customHeight="1">
      <c r="A52" s="7" t="n">
        <v>48</v>
      </c>
      <c r="B52" s="16" t="inlineStr">
        <is>
          <t>38903</t>
        </is>
      </c>
      <c r="C52" s="8" t="inlineStr">
        <is>
          <t>Encuentro Oceania</t>
        </is>
      </c>
      <c r="D52" s="8" t="inlineStr">
        <is>
          <t>Veronica Garcia Ortega</t>
        </is>
      </c>
      <c r="E52" s="7" t="n">
        <v>0</v>
      </c>
      <c r="F52" s="7" t="n">
        <v>10</v>
      </c>
      <c r="G52" s="9">
        <f>IFERROR(E52/(E52+F52),0)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0</v>
      </c>
      <c r="F53" s="11" t="n">
        <v>10</v>
      </c>
      <c r="G53" s="13">
        <f>IFERROR(E53/(E53+F53),0)</f>
        <v/>
      </c>
      <c r="H53" s="10" t="inlineStr">
        <is>
          <t>Atención</t>
        </is>
      </c>
    </row>
    <row r="54" ht="21" customHeight="1">
      <c r="A54" s="7" t="n">
        <v>50</v>
      </c>
      <c r="B54" s="16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0</v>
      </c>
      <c r="F54" s="7" t="n">
        <v>10</v>
      </c>
      <c r="G54" s="9">
        <f>IFERROR(E54/(E54+F54),0)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38230</t>
        </is>
      </c>
      <c r="C55" s="12" t="inlineStr">
        <is>
          <t>ITEMS Edo de Mexico</t>
        </is>
      </c>
      <c r="D55" s="12" t="inlineStr">
        <is>
          <t>Nancy Carolina Rodriguez Medina</t>
        </is>
      </c>
      <c r="E55" s="11" t="n">
        <v>0</v>
      </c>
      <c r="F55" s="11" t="n">
        <v>10</v>
      </c>
      <c r="G55" s="13">
        <f>IFERROR(E55/(E55+F55),0)</f>
        <v/>
      </c>
      <c r="H55" s="10" t="inlineStr">
        <is>
          <t>Atención</t>
        </is>
      </c>
    </row>
    <row r="56" ht="21" customHeight="1">
      <c r="A56" s="7" t="n">
        <v>52</v>
      </c>
      <c r="B56" s="16" t="inlineStr">
        <is>
          <t>38207</t>
        </is>
      </c>
      <c r="C56" s="8" t="inlineStr">
        <is>
          <t>Lindavista II</t>
        </is>
      </c>
      <c r="D56" s="8" t="inlineStr">
        <is>
          <t>Vanessa Carreño Rios</t>
        </is>
      </c>
      <c r="E56" s="7" t="n">
        <v>0</v>
      </c>
      <c r="F56" s="7" t="n">
        <v>10</v>
      </c>
      <c r="G56" s="9">
        <f>IFERROR(E56/(E56+F56),0)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0</v>
      </c>
      <c r="F57" s="11" t="n">
        <v>10</v>
      </c>
      <c r="G57" s="13">
        <f>IFERROR(E57/(E57+F57),0)</f>
        <v/>
      </c>
      <c r="H57" s="10" t="inlineStr">
        <is>
          <t>Atención</t>
        </is>
      </c>
    </row>
    <row r="58" ht="21" customHeight="1">
      <c r="A58" s="7" t="n">
        <v>54</v>
      </c>
      <c r="B58" s="16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0</v>
      </c>
      <c r="F58" s="7" t="n">
        <v>10</v>
      </c>
      <c r="G58" s="9">
        <f>IFERROR(E58/(E58+F58),0)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38674</t>
        </is>
      </c>
      <c r="C59" s="12" t="inlineStr">
        <is>
          <t>Mundo E</t>
        </is>
      </c>
      <c r="D59" s="12" t="inlineStr">
        <is>
          <t>Nancy Carolina Rodriguez Medina</t>
        </is>
      </c>
      <c r="E59" s="11" t="n">
        <v>0</v>
      </c>
      <c r="F59" s="11" t="n">
        <v>10</v>
      </c>
      <c r="G59" s="13">
        <f>IFERROR(E59/(E59+F59),0)</f>
        <v/>
      </c>
      <c r="H59" s="10" t="inlineStr">
        <is>
          <t>Atención</t>
        </is>
      </c>
    </row>
    <row r="60" ht="21" customHeight="1">
      <c r="A60" s="7" t="n">
        <v>56</v>
      </c>
      <c r="B60" s="16" t="inlineStr">
        <is>
          <t>38845</t>
        </is>
      </c>
      <c r="C60" s="8" t="inlineStr">
        <is>
          <t>Mundo E II</t>
        </is>
      </c>
      <c r="D60" s="8" t="inlineStr">
        <is>
          <t>Nancy Carolina Rodriguez Medina</t>
        </is>
      </c>
      <c r="E60" s="7" t="n">
        <v>0</v>
      </c>
      <c r="F60" s="7" t="n">
        <v>10</v>
      </c>
      <c r="G60" s="9">
        <f>IFERROR(E60/(E60+F60),0)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38965</t>
        </is>
      </c>
      <c r="C61" s="12" t="inlineStr">
        <is>
          <t>Parque Tepeyac Piso 2</t>
        </is>
      </c>
      <c r="D61" s="12" t="inlineStr">
        <is>
          <t>Veronica Garcia Ortega</t>
        </is>
      </c>
      <c r="E61" s="11" t="n">
        <v>0</v>
      </c>
      <c r="F61" s="11" t="n">
        <v>10</v>
      </c>
      <c r="G61" s="13">
        <f>IFERROR(E61/(E61+F61),0)</f>
        <v/>
      </c>
      <c r="H61" s="10" t="inlineStr">
        <is>
          <t>Atención</t>
        </is>
      </c>
    </row>
    <row r="62" ht="21" customHeight="1">
      <c r="A62" s="7" t="n">
        <v>58</v>
      </c>
      <c r="B62" s="16" t="inlineStr">
        <is>
          <t>38792</t>
        </is>
      </c>
      <c r="C62" s="8" t="inlineStr">
        <is>
          <t>Pasaje Tlanepantla</t>
        </is>
      </c>
      <c r="D62" s="8" t="inlineStr">
        <is>
          <t>Nancy Carolina Rodriguez Medina</t>
        </is>
      </c>
      <c r="E62" s="7" t="n">
        <v>0</v>
      </c>
      <c r="F62" s="7" t="n">
        <v>10</v>
      </c>
      <c r="G62" s="9">
        <f>IFERROR(E62/(E62+F62),0)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38515</t>
        </is>
      </c>
      <c r="C63" s="12" t="inlineStr">
        <is>
          <t>Patio Ecatepec</t>
        </is>
      </c>
      <c r="D63" s="12" t="inlineStr">
        <is>
          <t>Enrique Cesar Flores</t>
        </is>
      </c>
      <c r="E63" s="11" t="n">
        <v>0</v>
      </c>
      <c r="F63" s="11" t="n">
        <v>10</v>
      </c>
      <c r="G63" s="13">
        <f>IFERROR(E63/(E63+F63),0)</f>
        <v/>
      </c>
      <c r="H63" s="10" t="inlineStr">
        <is>
          <t>Atención</t>
        </is>
      </c>
    </row>
    <row r="64" ht="21" customHeight="1">
      <c r="A64" s="7" t="n">
        <v>60</v>
      </c>
      <c r="B64" s="16" t="inlineStr">
        <is>
          <t>38176</t>
        </is>
      </c>
      <c r="C64" s="8" t="inlineStr">
        <is>
          <t>Periferico Satélite DT</t>
        </is>
      </c>
      <c r="D64" s="8" t="inlineStr">
        <is>
          <t>Yazmin Chabela Guadarrama</t>
        </is>
      </c>
      <c r="E64" s="7" t="n">
        <v>0</v>
      </c>
      <c r="F64" s="7" t="n">
        <v>10</v>
      </c>
      <c r="G64" s="9">
        <f>IFERROR(E64/(E64+F64),0)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38924</t>
        </is>
      </c>
      <c r="C65" s="12" t="inlineStr">
        <is>
          <t>Plaza Aeropuerto</t>
        </is>
      </c>
      <c r="D65" s="12" t="inlineStr">
        <is>
          <t>Veronica Garcia Ortega</t>
        </is>
      </c>
      <c r="E65" s="11" t="n">
        <v>0</v>
      </c>
      <c r="F65" s="11" t="n">
        <v>10</v>
      </c>
      <c r="G65" s="13">
        <f>IFERROR(E65/(E65+F65),0)</f>
        <v/>
      </c>
      <c r="H65" s="10" t="inlineStr">
        <is>
          <t>Atención</t>
        </is>
      </c>
    </row>
    <row r="66" ht="21" customHeight="1">
      <c r="A66" s="7" t="n">
        <v>62</v>
      </c>
      <c r="B66" s="16" t="inlineStr">
        <is>
          <t>38719</t>
        </is>
      </c>
      <c r="C66" s="8" t="inlineStr">
        <is>
          <t>Plaza Fortuna</t>
        </is>
      </c>
      <c r="D66" s="8" t="inlineStr">
        <is>
          <t>Veronica Garcia Ortega</t>
        </is>
      </c>
      <c r="E66" s="7" t="n">
        <v>0</v>
      </c>
      <c r="F66" s="7" t="n">
        <v>10</v>
      </c>
      <c r="G66" s="9">
        <f>IFERROR(E66/(E66+F66),0)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38859</t>
        </is>
      </c>
      <c r="C67" s="12" t="inlineStr">
        <is>
          <t>Plaza Satelite II N1</t>
        </is>
      </c>
      <c r="D67" s="12" t="inlineStr">
        <is>
          <t>Yazmin Chabela Guadarrama</t>
        </is>
      </c>
      <c r="E67" s="11" t="n">
        <v>0</v>
      </c>
      <c r="F67" s="11" t="n">
        <v>10</v>
      </c>
      <c r="G67" s="13">
        <f>IFERROR(E67/(E67+F67),0)</f>
        <v/>
      </c>
      <c r="H67" s="10" t="inlineStr">
        <is>
          <t>Atención</t>
        </is>
      </c>
    </row>
    <row r="68" ht="21" customHeight="1">
      <c r="A68" s="7" t="n">
        <v>64</v>
      </c>
      <c r="B68" s="16" t="inlineStr">
        <is>
          <t>38811</t>
        </is>
      </c>
      <c r="C68" s="8" t="inlineStr">
        <is>
          <t>Plaza Tepeyac</t>
        </is>
      </c>
      <c r="D68" s="8" t="inlineStr">
        <is>
          <t>Veronica Garcia Ortega</t>
        </is>
      </c>
      <c r="E68" s="7" t="n">
        <v>0</v>
      </c>
      <c r="F68" s="7" t="n">
        <v>10</v>
      </c>
      <c r="G68" s="9">
        <f>IFERROR(E68/(E68+F68),0)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38136</t>
        </is>
      </c>
      <c r="C69" s="12" t="inlineStr">
        <is>
          <t>Punta Norte</t>
        </is>
      </c>
      <c r="D69" s="12" t="inlineStr">
        <is>
          <t>Nancy Carolina Rodriguez Medina</t>
        </is>
      </c>
      <c r="E69" s="11" t="n">
        <v>0</v>
      </c>
      <c r="F69" s="11" t="n">
        <v>10</v>
      </c>
      <c r="G69" s="13">
        <f>IFERROR(E69/(E69+F69),0)</f>
        <v/>
      </c>
      <c r="H69" s="10" t="inlineStr">
        <is>
          <t>Atención</t>
        </is>
      </c>
    </row>
    <row r="70" ht="21" customHeight="1">
      <c r="A70" s="7" t="n">
        <v>66</v>
      </c>
      <c r="B70" s="16" t="inlineStr">
        <is>
          <t>38460</t>
        </is>
      </c>
      <c r="C70" s="8" t="inlineStr">
        <is>
          <t>Santa Monica</t>
        </is>
      </c>
      <c r="D70" s="8" t="inlineStr">
        <is>
          <t>Nancy Carolina Rodriguez Medina</t>
        </is>
      </c>
      <c r="E70" s="7" t="n">
        <v>0</v>
      </c>
      <c r="F70" s="7" t="n">
        <v>10</v>
      </c>
      <c r="G70" s="9">
        <f>IFERROR(E70/(E70+F70),0)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38442</t>
        </is>
      </c>
      <c r="C71" s="12" t="inlineStr">
        <is>
          <t>Sor Juana</t>
        </is>
      </c>
      <c r="D71" s="12" t="inlineStr">
        <is>
          <t>Nancy Carolina Rodriguez Medina</t>
        </is>
      </c>
      <c r="E71" s="11" t="n">
        <v>0</v>
      </c>
      <c r="F71" s="11" t="n">
        <v>10</v>
      </c>
      <c r="G71" s="13">
        <f>IFERROR(E71/(E71+F71),0)</f>
        <v/>
      </c>
      <c r="H71" s="10" t="inlineStr">
        <is>
          <t>Atención</t>
        </is>
      </c>
    </row>
    <row r="72" ht="21" customHeight="1">
      <c r="A72" s="7" t="n">
        <v>68</v>
      </c>
      <c r="B72" s="16" t="inlineStr">
        <is>
          <t>38992</t>
        </is>
      </c>
      <c r="C72" s="8" t="inlineStr">
        <is>
          <t>Tapo Puerta Oriente</t>
        </is>
      </c>
      <c r="D72" s="8" t="inlineStr">
        <is>
          <t>Veronica Garcia Ortega</t>
        </is>
      </c>
      <c r="E72" s="7" t="n">
        <v>0</v>
      </c>
      <c r="F72" s="7" t="n">
        <v>10</v>
      </c>
      <c r="G72" s="9">
        <f>IFERROR(E72/(E72+F72),0)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43130</t>
        </is>
      </c>
      <c r="C73" s="12" t="inlineStr">
        <is>
          <t>Town Center Nicolás Romero</t>
        </is>
      </c>
      <c r="D73" s="12" t="inlineStr">
        <is>
          <t>Yazmin Haydee Garcia Gonzalez</t>
        </is>
      </c>
      <c r="E73" s="11" t="n">
        <v>0</v>
      </c>
      <c r="F73" s="11" t="n">
        <v>10</v>
      </c>
      <c r="G73" s="13">
        <f>IFERROR(E73/(E73+F73),0)</f>
        <v/>
      </c>
      <c r="H73" s="10" t="inlineStr">
        <is>
          <t>Atención</t>
        </is>
      </c>
    </row>
    <row r="74" ht="21" customHeight="1">
      <c r="A74" s="7" t="n">
        <v>70</v>
      </c>
      <c r="B74" s="16" t="inlineStr">
        <is>
          <t>38374</t>
        </is>
      </c>
      <c r="C74" s="8" t="inlineStr">
        <is>
          <t>Valle Dorado</t>
        </is>
      </c>
      <c r="D74" s="8" t="inlineStr">
        <is>
          <t>Nancy Carolina Rodriguez Medina</t>
        </is>
      </c>
      <c r="E74" s="7" t="n">
        <v>0</v>
      </c>
      <c r="F74" s="7" t="n">
        <v>10</v>
      </c>
      <c r="G74" s="9">
        <f>IFERROR(E74/(E74+F74),0)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38694</t>
        </is>
      </c>
      <c r="C75" s="12" t="inlineStr">
        <is>
          <t>Villas de la Hacienda</t>
        </is>
      </c>
      <c r="D75" s="12" t="inlineStr">
        <is>
          <t>Nancy Carolina Rodriguez Medina</t>
        </is>
      </c>
      <c r="E75" s="11" t="n">
        <v>0</v>
      </c>
      <c r="F75" s="11" t="n">
        <v>10</v>
      </c>
      <c r="G75" s="13">
        <f>IFERROR(E75/(E75+F75),0)</f>
        <v/>
      </c>
      <c r="H75" s="10" t="inlineStr">
        <is>
          <t>Atención</t>
        </is>
      </c>
    </row>
    <row r="76" ht="21" customHeight="1">
      <c r="A76" s="7" t="n">
        <v>72</v>
      </c>
      <c r="B76" s="16" t="inlineStr">
        <is>
          <t>38115</t>
        </is>
      </c>
      <c r="C76" s="8" t="inlineStr">
        <is>
          <t>Zona Azul</t>
        </is>
      </c>
      <c r="D76" s="8" t="inlineStr">
        <is>
          <t>Yazmin Haydee Garcia Gonzalez</t>
        </is>
      </c>
      <c r="E76" s="7" t="n">
        <v>0</v>
      </c>
      <c r="F76" s="7" t="n">
        <v>10</v>
      </c>
      <c r="G76" s="9">
        <f>IFERROR(E76/(E76+F76),0)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14" customWidth="1" min="3" max="3"/>
    <col width="14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30/08/2026 17:01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10</v>
      </c>
      <c r="D5" s="11" t="n">
        <v>62</v>
      </c>
      <c r="E5" s="13">
        <f>IFERROR(C5/(C5+D5),0)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71</v>
      </c>
      <c r="E6" s="9">
        <f>IFERROR(C6/(C6+D6),0)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5</v>
      </c>
      <c r="D7" s="11" t="n">
        <v>67</v>
      </c>
      <c r="E7" s="13">
        <f>IFERROR(C7/(C7+D7),0)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71</v>
      </c>
      <c r="E8" s="9">
        <f>IFERROR(C8/(C8+D8),0)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1</v>
      </c>
      <c r="D9" s="11" t="n">
        <v>71</v>
      </c>
      <c r="E9" s="13">
        <f>IFERROR(C9/(C9+D9),0)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IFERROR(C10/(C10+D10),0)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3</v>
      </c>
      <c r="D11" s="11" t="n">
        <v>69</v>
      </c>
      <c r="E11" s="13">
        <f>IFERROR(C11/(C11+D11),0)</f>
        <v/>
      </c>
      <c r="F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2</v>
      </c>
      <c r="D12" s="7" t="n">
        <v>70</v>
      </c>
      <c r="E12" s="9">
        <f>IFERROR(C12/(C12+D12),0)</f>
        <v/>
      </c>
      <c r="F12" s="8" t="inlineStr">
        <is>
          <t>06/09/26</t>
        </is>
      </c>
    </row>
    <row r="13" ht="21" customHeight="1">
      <c r="A13" s="11" t="n">
        <v>9</v>
      </c>
      <c r="B13" s="12" t="inlineStr">
        <is>
          <t>Community Board</t>
        </is>
      </c>
      <c r="C13" s="11" t="n">
        <v>0</v>
      </c>
      <c r="D13" s="11" t="n">
        <v>71</v>
      </c>
      <c r="E13" s="13">
        <f>IFERROR(C13/(C13+D13),0)</f>
        <v/>
      </c>
      <c r="F13" s="12" t="inlineStr">
        <is>
          <t>03/09/26</t>
        </is>
      </c>
    </row>
    <row r="14" ht="21" customHeight="1">
      <c r="A14" s="7" t="n">
        <v>10</v>
      </c>
      <c r="B14" s="8" t="inlineStr">
        <is>
          <t>Activacion PSL Sharpie</t>
        </is>
      </c>
      <c r="C14" s="7" t="n">
        <v>33</v>
      </c>
      <c r="D14" s="7" t="n">
        <v>39</v>
      </c>
      <c r="E14" s="9">
        <f>IFERROR(C14/(C14+D14),0)</f>
        <v/>
      </c>
      <c r="F14" s="8" t="inlineStr">
        <is>
          <t>31/08/26</t>
        </is>
      </c>
    </row>
  </sheetData>
  <autoFilter ref="A4:F14"/>
  <mergeCells count="2">
    <mergeCell ref="A3:F3"/>
    <mergeCell ref="A1:F2"/>
  </mergeCells>
  <conditionalFormatting sqref="E5:E14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2026-08-30T23:08:19Z</dcterms:created>
  <dcterms:modified xsi:type="dcterms:W3CDTF">2026-08-30T23:08:19Z</dcterms:modified>
</cp:coreProperties>
</file>