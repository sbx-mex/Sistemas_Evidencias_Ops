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'Resumen'!$A$9:$H$15</definedName>
    <definedName name="_xlnm.Print_Area" localSheetId="0">'Resumen'!$A$1:$H$15</definedName>
    <definedName name="_xlnm._FilterDatabase" localSheetId="1" hidden="1">'Tiendas'!$A$4:$I$76</definedName>
    <definedName name="_xlnm.Print_Titles" localSheetId="1">'Tiendas'!$1:$4</definedName>
    <definedName name="_xlnm._FilterDatabase" localSheetId="2" hidden="1">'Actividades'!$A$4:$H$15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1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Centro Norte · Corte 01/09/2026 18:42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189</v>
      </c>
      <c r="C6" s="4" t="n">
        <v>598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Cesar</t>
        </is>
      </c>
      <c r="C10" s="7" t="n">
        <v>10</v>
      </c>
      <c r="D10" s="7" t="n">
        <v>54</v>
      </c>
      <c r="E10" s="8" t="n">
        <v>54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Veronica Garcia</t>
        </is>
      </c>
      <c r="C11" s="11" t="n">
        <v>11</v>
      </c>
      <c r="D11" s="11" t="n">
        <v>32</v>
      </c>
      <c r="E11" s="12" t="n">
        <v>89</v>
      </c>
      <c r="F11" s="13">
        <f>IFERROR(D11/(D11+E11),0)</f>
        <v/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3</v>
      </c>
      <c r="B12" s="8" t="inlineStr">
        <is>
          <t>Nancy Carolina</t>
        </is>
      </c>
      <c r="C12" s="7" t="n">
        <v>12</v>
      </c>
      <c r="D12" s="7" t="n">
        <v>27</v>
      </c>
      <c r="E12" s="8" t="n">
        <v>104</v>
      </c>
      <c r="F12" s="9">
        <f>IFERROR(D12/(D12+E12),0)</f>
        <v/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4</v>
      </c>
      <c r="B13" s="12" t="inlineStr">
        <is>
          <t>Yazmin Chabela</t>
        </is>
      </c>
      <c r="C13" s="11" t="n">
        <v>13</v>
      </c>
      <c r="D13" s="11" t="n">
        <v>27</v>
      </c>
      <c r="E13" s="12" t="n">
        <v>116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Vanessa Carreño</t>
        </is>
      </c>
      <c r="C14" s="7" t="n">
        <v>13</v>
      </c>
      <c r="D14" s="7" t="n">
        <v>26</v>
      </c>
      <c r="E14" s="8" t="n">
        <v>116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Yazmin Garcia</t>
        </is>
      </c>
      <c r="C15" s="11" t="n">
        <v>13</v>
      </c>
      <c r="D15" s="11" t="n">
        <v>23</v>
      </c>
      <c r="E15" s="12" t="n">
        <v>119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</sheetData>
  <autoFilter ref="A9:H15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7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Centro Norte · Corte 01/09/2026 18:42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38862</t>
        </is>
      </c>
      <c r="C5" s="12" t="inlineStr">
        <is>
          <t>San Miguel Izcalli</t>
        </is>
      </c>
      <c r="D5" s="12" t="inlineStr">
        <is>
          <t>Enrique Cesar Flores</t>
        </is>
      </c>
      <c r="E5" s="11" t="n">
        <v>10</v>
      </c>
      <c r="F5" s="11" t="n">
        <v>1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38719</t>
        </is>
      </c>
      <c r="C6" s="8" t="inlineStr">
        <is>
          <t>Plaza Fortuna</t>
        </is>
      </c>
      <c r="D6" s="8" t="inlineStr">
        <is>
          <t>Veronica Garcia Ortega</t>
        </is>
      </c>
      <c r="E6" s="7" t="n">
        <v>9</v>
      </c>
      <c r="F6" s="7" t="n">
        <v>2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38515</t>
        </is>
      </c>
      <c r="C7" s="12" t="inlineStr">
        <is>
          <t>Patio Ecatepec</t>
        </is>
      </c>
      <c r="D7" s="12" t="inlineStr">
        <is>
          <t>Enrique Cesar Flores</t>
        </is>
      </c>
      <c r="E7" s="11" t="n">
        <v>7</v>
      </c>
      <c r="F7" s="11" t="n">
        <v>4</v>
      </c>
      <c r="G7" s="13">
        <f>IFERROR(E7/(E7+F7),0)</f>
        <v/>
      </c>
      <c r="H7" s="10" t="inlineStr">
        <is>
          <t>Seguimiento</t>
        </is>
      </c>
      <c r="I7" s="10" t="inlineStr">
        <is>
          <t>Dar seguimiento</t>
        </is>
      </c>
    </row>
    <row r="8" ht="21" customHeight="1">
      <c r="A8" s="7" t="n">
        <v>4</v>
      </c>
      <c r="B8" s="17" t="inlineStr">
        <is>
          <t>38368</t>
        </is>
      </c>
      <c r="C8" s="8" t="inlineStr">
        <is>
          <t>Luna Park</t>
        </is>
      </c>
      <c r="D8" s="8" t="inlineStr">
        <is>
          <t>Enrique Cesar Flores</t>
        </is>
      </c>
      <c r="E8" s="7" t="n">
        <v>6</v>
      </c>
      <c r="F8" s="7" t="n">
        <v>5</v>
      </c>
      <c r="G8" s="9">
        <f>IFERROR(E8/(E8+F8),0)</f>
        <v/>
      </c>
      <c r="H8" s="10" t="inlineStr">
        <is>
          <t>Seguimiento</t>
        </is>
      </c>
      <c r="I8" s="10" t="inlineStr">
        <is>
          <t>Dar seguimiento</t>
        </is>
      </c>
    </row>
    <row r="9" ht="21" customHeight="1">
      <c r="A9" s="11" t="n">
        <v>5</v>
      </c>
      <c r="B9" s="15" t="inlineStr">
        <is>
          <t>38561</t>
        </is>
      </c>
      <c r="C9" s="12" t="inlineStr">
        <is>
          <t>Parque Toreo</t>
        </is>
      </c>
      <c r="D9" s="12" t="inlineStr">
        <is>
          <t>Yazmin Chabela Guadarrama</t>
        </is>
      </c>
      <c r="E9" s="11" t="n">
        <v>6</v>
      </c>
      <c r="F9" s="11" t="n">
        <v>5</v>
      </c>
      <c r="G9" s="13">
        <f>IFERROR(E9/(E9+F9),0)</f>
        <v/>
      </c>
      <c r="H9" s="10" t="inlineStr">
        <is>
          <t>Seguimiento</t>
        </is>
      </c>
      <c r="I9" s="10" t="inlineStr">
        <is>
          <t>Dar seguimiento</t>
        </is>
      </c>
    </row>
    <row r="10" ht="21" customHeight="1">
      <c r="A10" s="7" t="n">
        <v>6</v>
      </c>
      <c r="B10" s="17" t="inlineStr">
        <is>
          <t>43193</t>
        </is>
      </c>
      <c r="C10" s="8" t="inlineStr">
        <is>
          <t>Cosmopol N1</t>
        </is>
      </c>
      <c r="D10" s="8" t="inlineStr">
        <is>
          <t>Enrique Cesar Flores</t>
        </is>
      </c>
      <c r="E10" s="7" t="n">
        <v>5</v>
      </c>
      <c r="F10" s="7" t="n">
        <v>5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38401</t>
        </is>
      </c>
      <c r="C11" s="12" t="inlineStr">
        <is>
          <t>Coacalco</t>
        </is>
      </c>
      <c r="D11" s="12" t="inlineStr">
        <is>
          <t>Enrique Cesar Flores</t>
        </is>
      </c>
      <c r="E11" s="11" t="n">
        <v>5</v>
      </c>
      <c r="F11" s="11" t="n">
        <v>6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38458</t>
        </is>
      </c>
      <c r="C12" s="8" t="inlineStr">
        <is>
          <t>El Rosario</t>
        </is>
      </c>
      <c r="D12" s="8" t="inlineStr">
        <is>
          <t>Yazmin Chabela Guadarrama</t>
        </is>
      </c>
      <c r="E12" s="7" t="n">
        <v>5</v>
      </c>
      <c r="F12" s="7" t="n">
        <v>6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38894</t>
        </is>
      </c>
      <c r="C13" s="12" t="inlineStr">
        <is>
          <t>Galerias Perinorte</t>
        </is>
      </c>
      <c r="D13" s="12" t="inlineStr">
        <is>
          <t>Enrique Cesar Flores</t>
        </is>
      </c>
      <c r="E13" s="11" t="n">
        <v>5</v>
      </c>
      <c r="F13" s="11" t="n">
        <v>6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38333</t>
        </is>
      </c>
      <c r="C14" s="8" t="inlineStr">
        <is>
          <t>Izcalli Mega</t>
        </is>
      </c>
      <c r="D14" s="8" t="inlineStr">
        <is>
          <t>Enrique Cesar Flores</t>
        </is>
      </c>
      <c r="E14" s="7" t="n">
        <v>5</v>
      </c>
      <c r="F14" s="7" t="n">
        <v>6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38339</t>
        </is>
      </c>
      <c r="C15" s="12" t="inlineStr">
        <is>
          <t>San Marcos</t>
        </is>
      </c>
      <c r="D15" s="12" t="inlineStr">
        <is>
          <t>Enrique Cesar Flores</t>
        </is>
      </c>
      <c r="E15" s="11" t="n">
        <v>5</v>
      </c>
      <c r="F15" s="11" t="n">
        <v>6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38695</t>
        </is>
      </c>
      <c r="C16" s="8" t="inlineStr">
        <is>
          <t>Cetram 4 Caminos</t>
        </is>
      </c>
      <c r="D16" s="8" t="inlineStr">
        <is>
          <t>Yazmin Chabela Guadarrama</t>
        </is>
      </c>
      <c r="E16" s="7" t="n">
        <v>4</v>
      </c>
      <c r="F16" s="7" t="n">
        <v>7</v>
      </c>
      <c r="G16" s="9">
        <f>IFERROR(E16/(E16+F16),0)</f>
        <v/>
      </c>
      <c r="H16" s="14" t="inlineStr">
        <is>
          <t>Atención</t>
        </is>
      </c>
      <c r="I16" s="14" t="inlineStr">
        <is>
          <t>Priorizar hoy</t>
        </is>
      </c>
    </row>
    <row r="17" ht="21" customHeight="1">
      <c r="A17" s="11" t="n">
        <v>13</v>
      </c>
      <c r="B17" s="15" t="inlineStr">
        <is>
          <t>38661</t>
        </is>
      </c>
      <c r="C17" s="12" t="inlineStr">
        <is>
          <t>Jinetes</t>
        </is>
      </c>
      <c r="D17" s="12" t="inlineStr">
        <is>
          <t>Nancy Carolina Rodriguez Medina</t>
        </is>
      </c>
      <c r="E17" s="11" t="n">
        <v>4</v>
      </c>
      <c r="F17" s="11" t="n">
        <v>7</v>
      </c>
      <c r="G17" s="13">
        <f>IFERROR(E17/(E17+F17),0)</f>
        <v/>
      </c>
      <c r="H17" s="14" t="inlineStr">
        <is>
          <t>Atención</t>
        </is>
      </c>
      <c r="I17" s="14" t="inlineStr">
        <is>
          <t>Priorizar hoy</t>
        </is>
      </c>
    </row>
    <row r="18" ht="21" customHeight="1">
      <c r="A18" s="7" t="n">
        <v>14</v>
      </c>
      <c r="B18" s="17" t="inlineStr">
        <is>
          <t>38456</t>
        </is>
      </c>
      <c r="C18" s="8" t="inlineStr">
        <is>
          <t>Plaza las Flores</t>
        </is>
      </c>
      <c r="D18" s="8" t="inlineStr">
        <is>
          <t>Enrique Cesar Flores</t>
        </is>
      </c>
      <c r="E18" s="7" t="n">
        <v>3</v>
      </c>
      <c r="F18" s="7" t="n">
        <v>7</v>
      </c>
      <c r="G18" s="9">
        <f>IFERROR(E18/(E18+F18),0)</f>
        <v/>
      </c>
      <c r="H18" s="14" t="inlineStr">
        <is>
          <t>Atención</t>
        </is>
      </c>
      <c r="I18" s="14" t="inlineStr">
        <is>
          <t>Priorizar hoy</t>
        </is>
      </c>
    </row>
    <row r="19" ht="21" customHeight="1">
      <c r="A19" s="11" t="n">
        <v>15</v>
      </c>
      <c r="B19" s="15" t="inlineStr">
        <is>
          <t>43194</t>
        </is>
      </c>
      <c r="C19" s="12" t="inlineStr">
        <is>
          <t>Atana Lindavista</t>
        </is>
      </c>
      <c r="D19" s="12" t="inlineStr">
        <is>
          <t>Vanessa Carreño Rios</t>
        </is>
      </c>
      <c r="E19" s="11" t="n">
        <v>3</v>
      </c>
      <c r="F19" s="11" t="n">
        <v>8</v>
      </c>
      <c r="G19" s="13">
        <f>IFERROR(E19/(E19+F19),0)</f>
        <v/>
      </c>
      <c r="H19" s="14" t="inlineStr">
        <is>
          <t>Atención</t>
        </is>
      </c>
      <c r="I19" s="14" t="inlineStr">
        <is>
          <t>Priorizar hoy</t>
        </is>
      </c>
    </row>
    <row r="20" ht="21" customHeight="1">
      <c r="A20" s="7" t="n">
        <v>16</v>
      </c>
      <c r="B20" s="17" t="inlineStr">
        <is>
          <t>38604</t>
        </is>
      </c>
      <c r="C20" s="8" t="inlineStr">
        <is>
          <t>Cosmopol</t>
        </is>
      </c>
      <c r="D20" s="8" t="inlineStr">
        <is>
          <t>Enrique Cesar Flores</t>
        </is>
      </c>
      <c r="E20" s="7" t="n">
        <v>3</v>
      </c>
      <c r="F20" s="7" t="n">
        <v>8</v>
      </c>
      <c r="G20" s="9">
        <f>IFERROR(E20/(E20+F20),0)</f>
        <v/>
      </c>
      <c r="H20" s="14" t="inlineStr">
        <is>
          <t>Atención</t>
        </is>
      </c>
      <c r="I20" s="14" t="inlineStr">
        <is>
          <t>Priorizar hoy</t>
        </is>
      </c>
    </row>
    <row r="21" ht="21" customHeight="1">
      <c r="A21" s="11" t="n">
        <v>17</v>
      </c>
      <c r="B21" s="15" t="inlineStr">
        <is>
          <t>38903</t>
        </is>
      </c>
      <c r="C21" s="12" t="inlineStr">
        <is>
          <t>Encuentro Oceania</t>
        </is>
      </c>
      <c r="D21" s="12" t="inlineStr">
        <is>
          <t>Veronica Garcia Ortega</t>
        </is>
      </c>
      <c r="E21" s="11" t="n">
        <v>3</v>
      </c>
      <c r="F21" s="11" t="n">
        <v>8</v>
      </c>
      <c r="G21" s="13">
        <f>IFERROR(E21/(E21+F21),0)</f>
        <v/>
      </c>
      <c r="H21" s="14" t="inlineStr">
        <is>
          <t>Atención</t>
        </is>
      </c>
      <c r="I21" s="14" t="inlineStr">
        <is>
          <t>Priorizar hoy</t>
        </is>
      </c>
    </row>
    <row r="22" ht="21" customHeight="1">
      <c r="A22" s="7" t="n">
        <v>18</v>
      </c>
      <c r="B22" s="17" t="inlineStr">
        <is>
          <t>38965</t>
        </is>
      </c>
      <c r="C22" s="8" t="inlineStr">
        <is>
          <t>Parque Tepeyac Piso 2</t>
        </is>
      </c>
      <c r="D22" s="8" t="inlineStr">
        <is>
          <t>Veronica Garcia Ortega</t>
        </is>
      </c>
      <c r="E22" s="7" t="n">
        <v>3</v>
      </c>
      <c r="F22" s="7" t="n">
        <v>8</v>
      </c>
      <c r="G22" s="9">
        <f>IFERROR(E22/(E22+F22),0)</f>
        <v/>
      </c>
      <c r="H22" s="14" t="inlineStr">
        <is>
          <t>Atención</t>
        </is>
      </c>
      <c r="I22" s="14" t="inlineStr">
        <is>
          <t>Priorizar hoy</t>
        </is>
      </c>
    </row>
    <row r="23" ht="21" customHeight="1">
      <c r="A23" s="11" t="n">
        <v>19</v>
      </c>
      <c r="B23" s="15" t="inlineStr">
        <is>
          <t>38924</t>
        </is>
      </c>
      <c r="C23" s="12" t="inlineStr">
        <is>
          <t>Plaza Aeropuerto</t>
        </is>
      </c>
      <c r="D23" s="12" t="inlineStr">
        <is>
          <t>Veronica Garcia Ortega</t>
        </is>
      </c>
      <c r="E23" s="11" t="n">
        <v>3</v>
      </c>
      <c r="F23" s="11" t="n">
        <v>8</v>
      </c>
      <c r="G23" s="13">
        <f>IFERROR(E23/(E23+F23),0)</f>
        <v/>
      </c>
      <c r="H23" s="14" t="inlineStr">
        <is>
          <t>Atención</t>
        </is>
      </c>
      <c r="I23" s="14" t="inlineStr">
        <is>
          <t>Priorizar hoy</t>
        </is>
      </c>
    </row>
    <row r="24" ht="21" customHeight="1">
      <c r="A24" s="7" t="n">
        <v>20</v>
      </c>
      <c r="B24" s="17" t="inlineStr">
        <is>
          <t>38606</t>
        </is>
      </c>
      <c r="C24" s="8" t="inlineStr">
        <is>
          <t>TlalnepantlaCarso</t>
        </is>
      </c>
      <c r="D24" s="8" t="inlineStr">
        <is>
          <t>Nancy Carolina Rodriguez Medina</t>
        </is>
      </c>
      <c r="E24" s="7" t="n">
        <v>3</v>
      </c>
      <c r="F24" s="7" t="n">
        <v>8</v>
      </c>
      <c r="G24" s="9">
        <f>IFERROR(E24/(E24+F24),0)</f>
        <v/>
      </c>
      <c r="H24" s="14" t="inlineStr">
        <is>
          <t>Atención</t>
        </is>
      </c>
      <c r="I24" s="14" t="inlineStr">
        <is>
          <t>Priorizar hoy</t>
        </is>
      </c>
    </row>
    <row r="25" ht="21" customHeight="1">
      <c r="A25" s="11" t="n">
        <v>21</v>
      </c>
      <c r="B25" s="15" t="inlineStr">
        <is>
          <t>38374</t>
        </is>
      </c>
      <c r="C25" s="12" t="inlineStr">
        <is>
          <t>Valle Dorado</t>
        </is>
      </c>
      <c r="D25" s="12" t="inlineStr">
        <is>
          <t>Nancy Carolina Rodriguez Medina</t>
        </is>
      </c>
      <c r="E25" s="11" t="n">
        <v>3</v>
      </c>
      <c r="F25" s="11" t="n">
        <v>8</v>
      </c>
      <c r="G25" s="13">
        <f>IFERROR(E25/(E25+F25),0)</f>
        <v/>
      </c>
      <c r="H25" s="14" t="inlineStr">
        <is>
          <t>Atención</t>
        </is>
      </c>
      <c r="I25" s="14" t="inlineStr">
        <is>
          <t>Priorizar hoy</t>
        </is>
      </c>
    </row>
    <row r="26" ht="21" customHeight="1">
      <c r="A26" s="7" t="n">
        <v>22</v>
      </c>
      <c r="B26" s="17" t="inlineStr">
        <is>
          <t>38186</t>
        </is>
      </c>
      <c r="C26" s="8" t="inlineStr">
        <is>
          <t>Arboledas</t>
        </is>
      </c>
      <c r="D26" s="8" t="inlineStr">
        <is>
          <t>Nancy Carolina Rodriguez Medina</t>
        </is>
      </c>
      <c r="E26" s="7" t="n">
        <v>2</v>
      </c>
      <c r="F26" s="7" t="n">
        <v>9</v>
      </c>
      <c r="G26" s="9">
        <f>IFERROR(E26/(E26+F26),0)</f>
        <v/>
      </c>
      <c r="H26" s="14" t="inlineStr">
        <is>
          <t>Atención</t>
        </is>
      </c>
      <c r="I26" s="14" t="inlineStr">
        <is>
          <t>Priorizar hoy</t>
        </is>
      </c>
    </row>
    <row r="27" ht="21" customHeight="1">
      <c r="A27" s="11" t="n">
        <v>23</v>
      </c>
      <c r="B27" s="15" t="inlineStr">
        <is>
          <t>43043</t>
        </is>
      </c>
      <c r="C27" s="12" t="inlineStr">
        <is>
          <t>Atizapan</t>
        </is>
      </c>
      <c r="D27" s="12" t="inlineStr">
        <is>
          <t>Yazmin Haydee Garcia Gonzalez</t>
        </is>
      </c>
      <c r="E27" s="11" t="n">
        <v>2</v>
      </c>
      <c r="F27" s="11" t="n">
        <v>9</v>
      </c>
      <c r="G27" s="13">
        <f>IFERROR(E27/(E27+F27),0)</f>
        <v/>
      </c>
      <c r="H27" s="14" t="inlineStr">
        <is>
          <t>Atención</t>
        </is>
      </c>
      <c r="I27" s="14" t="inlineStr">
        <is>
          <t>Priorizar hoy</t>
        </is>
      </c>
    </row>
    <row r="28" ht="21" customHeight="1">
      <c r="A28" s="7" t="n">
        <v>24</v>
      </c>
      <c r="B28" s="17" t="inlineStr">
        <is>
          <t>38149</t>
        </is>
      </c>
      <c r="C28" s="8" t="inlineStr">
        <is>
          <t>Bellavista</t>
        </is>
      </c>
      <c r="D28" s="8" t="inlineStr">
        <is>
          <t>Yazmin Haydee Garcia Gonzalez</t>
        </is>
      </c>
      <c r="E28" s="7" t="n">
        <v>2</v>
      </c>
      <c r="F28" s="7" t="n">
        <v>9</v>
      </c>
      <c r="G28" s="9">
        <f>IFERROR(E28/(E28+F28),0)</f>
        <v/>
      </c>
      <c r="H28" s="14" t="inlineStr">
        <is>
          <t>Atención</t>
        </is>
      </c>
      <c r="I28" s="14" t="inlineStr">
        <is>
          <t>Priorizar hoy</t>
        </is>
      </c>
    </row>
    <row r="29" ht="21" customHeight="1">
      <c r="A29" s="11" t="n">
        <v>25</v>
      </c>
      <c r="B29" s="15" t="inlineStr">
        <is>
          <t>38930</t>
        </is>
      </c>
      <c r="C29" s="12" t="inlineStr">
        <is>
          <t>Blvd. Aeropuerto dt</t>
        </is>
      </c>
      <c r="D29" s="12" t="inlineStr">
        <is>
          <t>Veronica Garcia Ortega</t>
        </is>
      </c>
      <c r="E29" s="11" t="n">
        <v>2</v>
      </c>
      <c r="F29" s="11" t="n">
        <v>9</v>
      </c>
      <c r="G29" s="13">
        <f>IFERROR(E29/(E29+F29),0)</f>
        <v/>
      </c>
      <c r="H29" s="14" t="inlineStr">
        <is>
          <t>Atención</t>
        </is>
      </c>
      <c r="I29" s="14" t="inlineStr">
        <is>
          <t>Priorizar hoy</t>
        </is>
      </c>
    </row>
    <row r="30" ht="21" customHeight="1">
      <c r="A30" s="7" t="n">
        <v>26</v>
      </c>
      <c r="B30" s="17" t="inlineStr">
        <is>
          <t>38529</t>
        </is>
      </c>
      <c r="C30" s="8" t="inlineStr">
        <is>
          <t>Bosques de Aragon</t>
        </is>
      </c>
      <c r="D30" s="8" t="inlineStr">
        <is>
          <t>Veronica Garcia Ortega</t>
        </is>
      </c>
      <c r="E30" s="7" t="n">
        <v>2</v>
      </c>
      <c r="F30" s="7" t="n">
        <v>9</v>
      </c>
      <c r="G30" s="9">
        <f>IFERROR(E30/(E30+F30),0)</f>
        <v/>
      </c>
      <c r="H30" s="14" t="inlineStr">
        <is>
          <t>Atención</t>
        </is>
      </c>
      <c r="I30" s="14" t="inlineStr">
        <is>
          <t>Priorizar hoy</t>
        </is>
      </c>
    </row>
    <row r="31" ht="21" customHeight="1">
      <c r="A31" s="11" t="n">
        <v>27</v>
      </c>
      <c r="B31" s="15" t="inlineStr">
        <is>
          <t>38527</t>
        </is>
      </c>
      <c r="C31" s="12" t="inlineStr">
        <is>
          <t>Camarones</t>
        </is>
      </c>
      <c r="D31" s="12" t="inlineStr">
        <is>
          <t>Vanessa Carreño Rios</t>
        </is>
      </c>
      <c r="E31" s="11" t="n">
        <v>2</v>
      </c>
      <c r="F31" s="11" t="n">
        <v>9</v>
      </c>
      <c r="G31" s="13">
        <f>IFERROR(E31/(E31+F31),0)</f>
        <v/>
      </c>
      <c r="H31" s="14" t="inlineStr">
        <is>
          <t>Atención</t>
        </is>
      </c>
      <c r="I31" s="14" t="inlineStr">
        <is>
          <t>Priorizar hoy</t>
        </is>
      </c>
    </row>
    <row r="32" ht="21" customHeight="1">
      <c r="A32" s="7" t="n">
        <v>28</v>
      </c>
      <c r="B32" s="17" t="inlineStr">
        <is>
          <t>38837</t>
        </is>
      </c>
      <c r="C32" s="8" t="inlineStr">
        <is>
          <t>Centenario Azcapotzalco</t>
        </is>
      </c>
      <c r="D32" s="8" t="inlineStr">
        <is>
          <t>Vanessa Carreño Rios</t>
        </is>
      </c>
      <c r="E32" s="7" t="n">
        <v>2</v>
      </c>
      <c r="F32" s="7" t="n">
        <v>9</v>
      </c>
      <c r="G32" s="9">
        <f>IFERROR(E32/(E32+F32),0)</f>
        <v/>
      </c>
      <c r="H32" s="14" t="inlineStr">
        <is>
          <t>Atención</t>
        </is>
      </c>
      <c r="I32" s="14" t="inlineStr">
        <is>
          <t>Priorizar hoy</t>
        </is>
      </c>
    </row>
    <row r="33" ht="21" customHeight="1">
      <c r="A33" s="11" t="n">
        <v>29</v>
      </c>
      <c r="B33" s="15" t="inlineStr">
        <is>
          <t>38394</t>
        </is>
      </c>
      <c r="C33" s="12" t="inlineStr">
        <is>
          <t>Centro Comercial Lomas Verdes</t>
        </is>
      </c>
      <c r="D33" s="12" t="inlineStr">
        <is>
          <t>Yazmin Haydee Garcia Gonzalez</t>
        </is>
      </c>
      <c r="E33" s="11" t="n">
        <v>2</v>
      </c>
      <c r="F33" s="11" t="n">
        <v>9</v>
      </c>
      <c r="G33" s="13">
        <f>IFERROR(E33/(E33+F33),0)</f>
        <v/>
      </c>
      <c r="H33" s="14" t="inlineStr">
        <is>
          <t>Atención</t>
        </is>
      </c>
      <c r="I33" s="14" t="inlineStr">
        <is>
          <t>Priorizar hoy</t>
        </is>
      </c>
    </row>
    <row r="34" ht="21" customHeight="1">
      <c r="A34" s="7" t="n">
        <v>30</v>
      </c>
      <c r="B34" s="17" t="inlineStr">
        <is>
          <t>38535</t>
        </is>
      </c>
      <c r="C34" s="8" t="inlineStr">
        <is>
          <t>City Center Esmeralda</t>
        </is>
      </c>
      <c r="D34" s="8" t="inlineStr">
        <is>
          <t>Yazmin Haydee Garcia Gonzalez</t>
        </is>
      </c>
      <c r="E34" s="7" t="n">
        <v>2</v>
      </c>
      <c r="F34" s="7" t="n">
        <v>9</v>
      </c>
      <c r="G34" s="9">
        <f>IFERROR(E34/(E34+F34),0)</f>
        <v/>
      </c>
      <c r="H34" s="14" t="inlineStr">
        <is>
          <t>Atención</t>
        </is>
      </c>
      <c r="I34" s="14" t="inlineStr">
        <is>
          <t>Priorizar hoy</t>
        </is>
      </c>
    </row>
    <row r="35" ht="21" customHeight="1">
      <c r="A35" s="11" t="n">
        <v>31</v>
      </c>
      <c r="B35" s="15" t="inlineStr">
        <is>
          <t>38431</t>
        </is>
      </c>
      <c r="C35" s="12" t="inlineStr">
        <is>
          <t>Eduardo Molina</t>
        </is>
      </c>
      <c r="D35" s="12" t="inlineStr">
        <is>
          <t>Veronica Garcia Ortega</t>
        </is>
      </c>
      <c r="E35" s="11" t="n">
        <v>2</v>
      </c>
      <c r="F35" s="11" t="n">
        <v>9</v>
      </c>
      <c r="G35" s="13">
        <f>IFERROR(E35/(E35+F35),0)</f>
        <v/>
      </c>
      <c r="H35" s="14" t="inlineStr">
        <is>
          <t>Atención</t>
        </is>
      </c>
      <c r="I35" s="14" t="inlineStr">
        <is>
          <t>Priorizar hoy</t>
        </is>
      </c>
    </row>
    <row r="36" ht="21" customHeight="1">
      <c r="A36" s="7" t="n">
        <v>32</v>
      </c>
      <c r="B36" s="17" t="inlineStr">
        <is>
          <t>38995</t>
        </is>
      </c>
      <c r="C36" s="8" t="inlineStr">
        <is>
          <t>Encuentro Oceania II</t>
        </is>
      </c>
      <c r="D36" s="8" t="inlineStr">
        <is>
          <t>Veronica Garcia Ortega</t>
        </is>
      </c>
      <c r="E36" s="7" t="n">
        <v>2</v>
      </c>
      <c r="F36" s="7" t="n">
        <v>9</v>
      </c>
      <c r="G36" s="9">
        <f>IFERROR(E36/(E36+F36),0)</f>
        <v/>
      </c>
      <c r="H36" s="14" t="inlineStr">
        <is>
          <t>Atención</t>
        </is>
      </c>
      <c r="I36" s="14" t="inlineStr">
        <is>
          <t>Priorizar hoy</t>
        </is>
      </c>
    </row>
    <row r="37" ht="21" customHeight="1">
      <c r="A37" s="11" t="n">
        <v>33</v>
      </c>
      <c r="B37" s="15" t="inlineStr">
        <is>
          <t>38507</t>
        </is>
      </c>
      <c r="C37" s="12" t="inlineStr">
        <is>
          <t>Espacio Vista del Valle</t>
        </is>
      </c>
      <c r="D37" s="12" t="inlineStr">
        <is>
          <t>Yazmin Haydee Garcia Gonzalez</t>
        </is>
      </c>
      <c r="E37" s="11" t="n">
        <v>2</v>
      </c>
      <c r="F37" s="11" t="n">
        <v>9</v>
      </c>
      <c r="G37" s="13">
        <f>IFERROR(E37/(E37+F37),0)</f>
        <v/>
      </c>
      <c r="H37" s="14" t="inlineStr">
        <is>
          <t>Atención</t>
        </is>
      </c>
      <c r="I37" s="14" t="inlineStr">
        <is>
          <t>Priorizar hoy</t>
        </is>
      </c>
    </row>
    <row r="38" ht="21" customHeight="1">
      <c r="A38" s="7" t="n">
        <v>34</v>
      </c>
      <c r="B38" s="17" t="inlineStr">
        <is>
          <t>38363</t>
        </is>
      </c>
      <c r="C38" s="8" t="inlineStr">
        <is>
          <t>Galerias Atizapan</t>
        </is>
      </c>
      <c r="D38" s="8" t="inlineStr">
        <is>
          <t>Yazmin Haydee Garcia Gonzalez</t>
        </is>
      </c>
      <c r="E38" s="7" t="n">
        <v>2</v>
      </c>
      <c r="F38" s="7" t="n">
        <v>9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38230</t>
        </is>
      </c>
      <c r="C39" s="12" t="inlineStr">
        <is>
          <t>ITEMS Edo de Mexico</t>
        </is>
      </c>
      <c r="D39" s="12" t="inlineStr">
        <is>
          <t>Nancy Carolina Rodriguez Medina</t>
        </is>
      </c>
      <c r="E39" s="11" t="n">
        <v>2</v>
      </c>
      <c r="F39" s="11" t="n">
        <v>9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7" t="inlineStr">
        <is>
          <t>38205</t>
        </is>
      </c>
      <c r="C40" s="8" t="inlineStr">
        <is>
          <t>Lindavista</t>
        </is>
      </c>
      <c r="D40" s="8" t="inlineStr">
        <is>
          <t>Vanessa Carreño Rios</t>
        </is>
      </c>
      <c r="E40" s="7" t="n">
        <v>2</v>
      </c>
      <c r="F40" s="7" t="n">
        <v>9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38371</t>
        </is>
      </c>
      <c r="C41" s="12" t="inlineStr">
        <is>
          <t>Montevideo DT</t>
        </is>
      </c>
      <c r="D41" s="12" t="inlineStr">
        <is>
          <t>Vanessa Carreño Rios</t>
        </is>
      </c>
      <c r="E41" s="11" t="n">
        <v>2</v>
      </c>
      <c r="F41" s="11" t="n">
        <v>9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43111</t>
        </is>
      </c>
      <c r="C42" s="8" t="inlineStr">
        <is>
          <t>Montevideo Insurgentes</t>
        </is>
      </c>
      <c r="D42" s="8" t="inlineStr">
        <is>
          <t>Vanessa Carreño Rios</t>
        </is>
      </c>
      <c r="E42" s="7" t="n">
        <v>2</v>
      </c>
      <c r="F42" s="7" t="n">
        <v>9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38674</t>
        </is>
      </c>
      <c r="C43" s="12" t="inlineStr">
        <is>
          <t>Mundo E</t>
        </is>
      </c>
      <c r="D43" s="12" t="inlineStr">
        <is>
          <t>Nancy Carolina Rodriguez Medina</t>
        </is>
      </c>
      <c r="E43" s="11" t="n">
        <v>2</v>
      </c>
      <c r="F43" s="11" t="n">
        <v>9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43195</t>
        </is>
      </c>
      <c r="C44" s="8" t="inlineStr">
        <is>
          <t>Parque Jadin kiosko</t>
        </is>
      </c>
      <c r="D44" s="8" t="inlineStr">
        <is>
          <t>Vanessa Carreño Rios</t>
        </is>
      </c>
      <c r="E44" s="7" t="n">
        <v>2</v>
      </c>
      <c r="F44" s="7" t="n">
        <v>9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38937</t>
        </is>
      </c>
      <c r="C45" s="12" t="inlineStr">
        <is>
          <t>Parque Tepeyac Piso 1</t>
        </is>
      </c>
      <c r="D45" s="12" t="inlineStr">
        <is>
          <t>Veronica Garcia Ortega</t>
        </is>
      </c>
      <c r="E45" s="11" t="n">
        <v>2</v>
      </c>
      <c r="F45" s="11" t="n">
        <v>9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38792</t>
        </is>
      </c>
      <c r="C46" s="8" t="inlineStr">
        <is>
          <t>Pasaje Tlanepantla</t>
        </is>
      </c>
      <c r="D46" s="8" t="inlineStr">
        <is>
          <t>Nancy Carolina Rodriguez Medina</t>
        </is>
      </c>
      <c r="E46" s="7" t="n">
        <v>2</v>
      </c>
      <c r="F46" s="7" t="n">
        <v>9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38546</t>
        </is>
      </c>
      <c r="C47" s="12" t="inlineStr">
        <is>
          <t>Patio Claveria</t>
        </is>
      </c>
      <c r="D47" s="12" t="inlineStr">
        <is>
          <t>Vanessa Carreño Rios</t>
        </is>
      </c>
      <c r="E47" s="11" t="n">
        <v>2</v>
      </c>
      <c r="F47" s="11" t="n">
        <v>9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38677</t>
        </is>
      </c>
      <c r="C48" s="8" t="inlineStr">
        <is>
          <t>Patio la Raza</t>
        </is>
      </c>
      <c r="D48" s="8" t="inlineStr">
        <is>
          <t>Vanessa Carreño Rios</t>
        </is>
      </c>
      <c r="E48" s="7" t="n">
        <v>2</v>
      </c>
      <c r="F48" s="7" t="n">
        <v>9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38859</t>
        </is>
      </c>
      <c r="C49" s="12" t="inlineStr">
        <is>
          <t>Plaza Satelite II N1</t>
        </is>
      </c>
      <c r="D49" s="12" t="inlineStr">
        <is>
          <t>Yazmin Chabela Guadarrama</t>
        </is>
      </c>
      <c r="E49" s="11" t="n">
        <v>2</v>
      </c>
      <c r="F49" s="11" t="n">
        <v>9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38811</t>
        </is>
      </c>
      <c r="C50" s="8" t="inlineStr">
        <is>
          <t>Plaza Tepeyac</t>
        </is>
      </c>
      <c r="D50" s="8" t="inlineStr">
        <is>
          <t>Veronica Garcia Ortega</t>
        </is>
      </c>
      <c r="E50" s="7" t="n">
        <v>2</v>
      </c>
      <c r="F50" s="7" t="n">
        <v>9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43132</t>
        </is>
      </c>
      <c r="C51" s="12" t="inlineStr">
        <is>
          <t>Plaza Vista Norte</t>
        </is>
      </c>
      <c r="D51" s="12" t="inlineStr">
        <is>
          <t>Vanessa Carreño Rios</t>
        </is>
      </c>
      <c r="E51" s="11" t="n">
        <v>2</v>
      </c>
      <c r="F51" s="11" t="n">
        <v>9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38136</t>
        </is>
      </c>
      <c r="C52" s="8" t="inlineStr">
        <is>
          <t>Punta Norte</t>
        </is>
      </c>
      <c r="D52" s="8" t="inlineStr">
        <is>
          <t>Nancy Carolina Rodriguez Medina</t>
        </is>
      </c>
      <c r="E52" s="7" t="n">
        <v>2</v>
      </c>
      <c r="F52" s="7" t="n">
        <v>9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38460</t>
        </is>
      </c>
      <c r="C53" s="12" t="inlineStr">
        <is>
          <t>Santa Monica</t>
        </is>
      </c>
      <c r="D53" s="12" t="inlineStr">
        <is>
          <t>Nancy Carolina Rodriguez Medina</t>
        </is>
      </c>
      <c r="E53" s="11" t="n">
        <v>2</v>
      </c>
      <c r="F53" s="11" t="n">
        <v>9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38475</t>
        </is>
      </c>
      <c r="C54" s="8" t="inlineStr">
        <is>
          <t>Satelite Centro Civico</t>
        </is>
      </c>
      <c r="D54" s="8" t="inlineStr">
        <is>
          <t>Yazmin Chabela Guadarrama</t>
        </is>
      </c>
      <c r="E54" s="7" t="n">
        <v>2</v>
      </c>
      <c r="F54" s="7" t="n">
        <v>9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38442</t>
        </is>
      </c>
      <c r="C55" s="12" t="inlineStr">
        <is>
          <t>Sor Juana</t>
        </is>
      </c>
      <c r="D55" s="12" t="inlineStr">
        <is>
          <t>Nancy Carolina Rodriguez Medina</t>
        </is>
      </c>
      <c r="E55" s="11" t="n">
        <v>2</v>
      </c>
      <c r="F55" s="11" t="n">
        <v>9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38925</t>
        </is>
      </c>
      <c r="C56" s="8" t="inlineStr">
        <is>
          <t>Star Medica Lomas Verdes</t>
        </is>
      </c>
      <c r="D56" s="8" t="inlineStr">
        <is>
          <t>Yazmin Haydee Garcia Gonzalez</t>
        </is>
      </c>
      <c r="E56" s="7" t="n">
        <v>2</v>
      </c>
      <c r="F56" s="7" t="n">
        <v>9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38992</t>
        </is>
      </c>
      <c r="C57" s="12" t="inlineStr">
        <is>
          <t>Tapo Puerta Oriente</t>
        </is>
      </c>
      <c r="D57" s="12" t="inlineStr">
        <is>
          <t>Veronica Garcia Ortega</t>
        </is>
      </c>
      <c r="E57" s="11" t="n">
        <v>2</v>
      </c>
      <c r="F57" s="11" t="n">
        <v>9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38411</t>
        </is>
      </c>
      <c r="C58" s="8" t="inlineStr">
        <is>
          <t>Torres Lindavista</t>
        </is>
      </c>
      <c r="D58" s="8" t="inlineStr">
        <is>
          <t>Vanessa Carreño Rios</t>
        </is>
      </c>
      <c r="E58" s="7" t="n">
        <v>2</v>
      </c>
      <c r="F58" s="7" t="n">
        <v>9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43130</t>
        </is>
      </c>
      <c r="C59" s="12" t="inlineStr">
        <is>
          <t>Town Center Nicolás Romero</t>
        </is>
      </c>
      <c r="D59" s="12" t="inlineStr">
        <is>
          <t>Yazmin Haydee Garcia Gonzalez</t>
        </is>
      </c>
      <c r="E59" s="11" t="n">
        <v>2</v>
      </c>
      <c r="F59" s="11" t="n">
        <v>9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38651</t>
        </is>
      </c>
      <c r="C60" s="8" t="inlineStr">
        <is>
          <t>Via Vallejo</t>
        </is>
      </c>
      <c r="D60" s="8" t="inlineStr">
        <is>
          <t>Vanessa Carreño Rios</t>
        </is>
      </c>
      <c r="E60" s="7" t="n">
        <v>2</v>
      </c>
      <c r="F60" s="7" t="n">
        <v>9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38694</t>
        </is>
      </c>
      <c r="C61" s="12" t="inlineStr">
        <is>
          <t>Villas de la Hacienda</t>
        </is>
      </c>
      <c r="D61" s="12" t="inlineStr">
        <is>
          <t>Nancy Carolina Rodriguez Medina</t>
        </is>
      </c>
      <c r="E61" s="11" t="n">
        <v>2</v>
      </c>
      <c r="F61" s="11" t="n">
        <v>9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38115</t>
        </is>
      </c>
      <c r="C62" s="8" t="inlineStr">
        <is>
          <t>Zona Azul</t>
        </is>
      </c>
      <c r="D62" s="8" t="inlineStr">
        <is>
          <t>Yazmin Haydee Garcia Gonzalez</t>
        </is>
      </c>
      <c r="E62" s="7" t="n">
        <v>2</v>
      </c>
      <c r="F62" s="7" t="n">
        <v>9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38142</t>
        </is>
      </c>
      <c r="C63" s="12" t="inlineStr">
        <is>
          <t>Zona Esmeralda</t>
        </is>
      </c>
      <c r="D63" s="12" t="inlineStr">
        <is>
          <t>Yazmin Haydee Garcia Gonzalez</t>
        </is>
      </c>
      <c r="E63" s="11" t="n">
        <v>2</v>
      </c>
      <c r="F63" s="11" t="n">
        <v>9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38207</t>
        </is>
      </c>
      <c r="C64" s="8" t="inlineStr">
        <is>
          <t>Lindavista II</t>
        </is>
      </c>
      <c r="D64" s="8" t="inlineStr">
        <is>
          <t>Vanessa Carreño Rios</t>
        </is>
      </c>
      <c r="E64" s="7" t="n">
        <v>1</v>
      </c>
      <c r="F64" s="7" t="n">
        <v>9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38845</t>
        </is>
      </c>
      <c r="C65" s="12" t="inlineStr">
        <is>
          <t>Mundo E II</t>
        </is>
      </c>
      <c r="D65" s="12" t="inlineStr">
        <is>
          <t>Nancy Carolina Rodriguez Medina</t>
        </is>
      </c>
      <c r="E65" s="11" t="n">
        <v>1</v>
      </c>
      <c r="F65" s="11" t="n">
        <v>9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38266</t>
        </is>
      </c>
      <c r="C66" s="8" t="inlineStr">
        <is>
          <t>San Mateo</t>
        </is>
      </c>
      <c r="D66" s="8" t="inlineStr">
        <is>
          <t>Yazmin Haydee Garcia Gonzalez</t>
        </is>
      </c>
      <c r="E66" s="7" t="n">
        <v>1</v>
      </c>
      <c r="F66" s="7" t="n">
        <v>9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38197</t>
        </is>
      </c>
      <c r="C67" s="12" t="inlineStr">
        <is>
          <t>Echegaray</t>
        </is>
      </c>
      <c r="D67" s="12" t="inlineStr">
        <is>
          <t>Yazmin Chabela Guadarrama</t>
        </is>
      </c>
      <c r="E67" s="11" t="n">
        <v>1</v>
      </c>
      <c r="F67" s="11" t="n">
        <v>10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38770</t>
        </is>
      </c>
      <c r="C68" s="8" t="inlineStr">
        <is>
          <t>Gustavo Baz 29</t>
        </is>
      </c>
      <c r="D68" s="8" t="inlineStr">
        <is>
          <t>Yazmin Chabela Guadarrama</t>
        </is>
      </c>
      <c r="E68" s="7" t="n">
        <v>1</v>
      </c>
      <c r="F68" s="7" t="n">
        <v>10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38119</t>
        </is>
      </c>
      <c r="C69" s="12" t="inlineStr">
        <is>
          <t>Lomas Verdes</t>
        </is>
      </c>
      <c r="D69" s="12" t="inlineStr">
        <is>
          <t>Yazmin Haydee Garcia Gonzalez</t>
        </is>
      </c>
      <c r="E69" s="11" t="n">
        <v>1</v>
      </c>
      <c r="F69" s="11" t="n">
        <v>10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38270</t>
        </is>
      </c>
      <c r="C70" s="8" t="inlineStr">
        <is>
          <t>Lomas Verdes II</t>
        </is>
      </c>
      <c r="D70" s="8" t="inlineStr">
        <is>
          <t>Yazmin Haydee Garcia Gonzalez</t>
        </is>
      </c>
      <c r="E70" s="7" t="n">
        <v>1</v>
      </c>
      <c r="F70" s="7" t="n">
        <v>10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38590</t>
        </is>
      </c>
      <c r="C71" s="12" t="inlineStr">
        <is>
          <t>Parque Toreo II</t>
        </is>
      </c>
      <c r="D71" s="12" t="inlineStr">
        <is>
          <t>Yazmin Chabela Guadarrama</t>
        </is>
      </c>
      <c r="E71" s="11" t="n">
        <v>1</v>
      </c>
      <c r="F71" s="11" t="n">
        <v>10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38176</t>
        </is>
      </c>
      <c r="C72" s="8" t="inlineStr">
        <is>
          <t>Periferico Satélite DT</t>
        </is>
      </c>
      <c r="D72" s="8" t="inlineStr">
        <is>
          <t>Yazmin Chabela Guadarrama</t>
        </is>
      </c>
      <c r="E72" s="7" t="n">
        <v>1</v>
      </c>
      <c r="F72" s="7" t="n">
        <v>10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38427</t>
        </is>
      </c>
      <c r="C73" s="12" t="inlineStr">
        <is>
          <t>Plaza Satelite</t>
        </is>
      </c>
      <c r="D73" s="12" t="inlineStr">
        <is>
          <t>Yazmin Chabela Guadarrama</t>
        </is>
      </c>
      <c r="E73" s="11" t="n">
        <v>1</v>
      </c>
      <c r="F73" s="11" t="n">
        <v>10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43152</t>
        </is>
      </c>
      <c r="C74" s="8" t="inlineStr">
        <is>
          <t>Samara Satélite</t>
        </is>
      </c>
      <c r="D74" s="8" t="inlineStr">
        <is>
          <t>Yazmin Chabela Guadarrama</t>
        </is>
      </c>
      <c r="E74" s="7" t="n">
        <v>1</v>
      </c>
      <c r="F74" s="7" t="n">
        <v>10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38117</t>
        </is>
      </c>
      <c r="C75" s="12" t="inlineStr">
        <is>
          <t>Satelite</t>
        </is>
      </c>
      <c r="D75" s="12" t="inlineStr">
        <is>
          <t>Yazmin Chabela Guadarrama</t>
        </is>
      </c>
      <c r="E75" s="11" t="n">
        <v>1</v>
      </c>
      <c r="F75" s="11" t="n">
        <v>10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38656</t>
        </is>
      </c>
      <c r="C76" s="8" t="inlineStr">
        <is>
          <t>Viveros de la Loma</t>
        </is>
      </c>
      <c r="D76" s="8" t="inlineStr">
        <is>
          <t>Yazmin Chabela Guadarrama</t>
        </is>
      </c>
      <c r="E76" s="7" t="n">
        <v>1</v>
      </c>
      <c r="F76" s="7" t="n">
        <v>10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</sheetData>
  <autoFilter ref="A4:I76"/>
  <mergeCells count="2">
    <mergeCell ref="A1:I2"/>
    <mergeCell ref="A3:I3"/>
  </mergeCells>
  <conditionalFormatting sqref="G5:G76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Centro Norte · Corte 01/09/2026 18:42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17</v>
      </c>
      <c r="D5" s="11" t="n">
        <v>55</v>
      </c>
      <c r="E5" s="13">
        <f>IFERROR(C5/(C5+D5),0)</f>
        <v/>
      </c>
      <c r="F5" s="12" t="inlineStr">
        <is>
          <t>03/09/26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53</v>
      </c>
      <c r="D6" s="7" t="n">
        <v>16</v>
      </c>
      <c r="E6" s="9">
        <f>IFERROR(C6/(C6+D6),0)</f>
        <v/>
      </c>
      <c r="F6" s="8" t="inlineStr">
        <is>
          <t>03/09/26</t>
        </is>
      </c>
      <c r="G6" s="10" t="inlineStr">
        <is>
          <t>Seguimiento</t>
        </is>
      </c>
      <c r="H6" s="10" t="inlineStr">
        <is>
          <t>Dar seguimiento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13</v>
      </c>
      <c r="D7" s="11" t="n">
        <v>59</v>
      </c>
      <c r="E7" s="13">
        <f>IFERROR(C7/(C7+D7),0)</f>
        <v/>
      </c>
      <c r="F7" s="12" t="inlineStr">
        <is>
          <t>06/09/26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3</v>
      </c>
      <c r="D8" s="7" t="n">
        <v>69</v>
      </c>
      <c r="E8" s="9">
        <f>IFERROR(C8/(C8+D8),0)</f>
        <v/>
      </c>
      <c r="F8" s="8" t="inlineStr">
        <is>
          <t>06/09/26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5</v>
      </c>
      <c r="B9" s="12" t="inlineStr">
        <is>
          <t>Fotografia - SM</t>
        </is>
      </c>
      <c r="C9" s="11" t="n">
        <v>6</v>
      </c>
      <c r="D9" s="11" t="n">
        <v>66</v>
      </c>
      <c r="E9" s="13">
        <f>IFERROR(C9/(C9+D9),0)</f>
        <v/>
      </c>
      <c r="F9" s="12" t="inlineStr">
        <is>
          <t>06/09/26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6</v>
      </c>
      <c r="B10" s="8" t="inlineStr">
        <is>
          <t>Mandil Verde</t>
        </is>
      </c>
      <c r="C10" s="7" t="n">
        <v>7</v>
      </c>
      <c r="D10" s="7" t="n">
        <v>65</v>
      </c>
      <c r="E10" s="9">
        <f>IFERROR(C10/(C10+D10),0)</f>
        <v/>
      </c>
      <c r="F10" s="8" t="inlineStr">
        <is>
          <t>13/09/26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7</v>
      </c>
      <c r="B11" s="12" t="inlineStr">
        <is>
          <t>Lay Out</t>
        </is>
      </c>
      <c r="C11" s="11" t="n">
        <v>9</v>
      </c>
      <c r="D11" s="11" t="n">
        <v>63</v>
      </c>
      <c r="E11" s="13">
        <f>IFERROR(C11/(C11+D11),0)</f>
        <v/>
      </c>
      <c r="F11" s="12" t="inlineStr">
        <is>
          <t>06/09/26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8</v>
      </c>
      <c r="B12" s="8" t="inlineStr">
        <is>
          <t>Community Board</t>
        </is>
      </c>
      <c r="C12" s="7" t="n">
        <v>6</v>
      </c>
      <c r="D12" s="7" t="n">
        <v>64</v>
      </c>
      <c r="E12" s="9">
        <f>IFERROR(C12/(C12+D12),0)</f>
        <v/>
      </c>
      <c r="F12" s="8" t="inlineStr">
        <is>
          <t>03/09/26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9</v>
      </c>
      <c r="B13" s="12" t="inlineStr">
        <is>
          <t>Activacion PSL Sharpie</t>
        </is>
      </c>
      <c r="C13" s="11" t="n">
        <v>72</v>
      </c>
      <c r="D13" s="11" t="n">
        <v>0</v>
      </c>
      <c r="E13" s="13">
        <f>IFERROR(C13/(C13+D13),0)</f>
        <v/>
      </c>
      <c r="F13" s="12" t="inlineStr">
        <is>
          <t>31/08/26</t>
        </is>
      </c>
      <c r="G13" s="16" t="inlineStr">
        <is>
          <t>En meta</t>
        </is>
      </c>
      <c r="H13" s="16" t="inlineStr">
        <is>
          <t>Mantener estándar</t>
        </is>
      </c>
    </row>
    <row r="14" ht="21" customHeight="1">
      <c r="A14" s="7" t="n">
        <v>10</v>
      </c>
      <c r="B14" s="8" t="inlineStr">
        <is>
          <t>Señaletica Back</t>
        </is>
      </c>
      <c r="C14" s="7" t="n">
        <v>2</v>
      </c>
      <c r="D14" s="7" t="n">
        <v>70</v>
      </c>
      <c r="E14" s="9">
        <f>IFERROR(C14/(C14+D14),0)</f>
        <v/>
      </c>
      <c r="F14" s="8" t="inlineStr">
        <is>
          <t>30/09/26</t>
        </is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11</v>
      </c>
      <c r="B15" s="12" t="inlineStr">
        <is>
          <t>Señaletica Lobby</t>
        </is>
      </c>
      <c r="C15" s="11" t="n">
        <v>1</v>
      </c>
      <c r="D15" s="11" t="n">
        <v>71</v>
      </c>
      <c r="E15" s="13">
        <f>IFERROR(C15/(C15+D15),0)</f>
        <v/>
      </c>
      <c r="F15" s="12" t="inlineStr">
        <is>
          <t>30/09/26</t>
        </is>
      </c>
      <c r="G15" s="14" t="inlineStr">
        <is>
          <t>Atención</t>
        </is>
      </c>
      <c r="H15" s="14" t="inlineStr">
        <is>
          <t>Priorizar hoy</t>
        </is>
      </c>
    </row>
  </sheetData>
  <autoFilter ref="A4:H15"/>
  <mergeCells count="2">
    <mergeCell ref="A1:H2"/>
    <mergeCell ref="A3:H3"/>
  </mergeCells>
  <conditionalFormatting sqref="E5:E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2026-09-02T01:49:09Z</dcterms:created>
  <dcterms:modified xsi:type="dcterms:W3CDTF">2026-09-02T01:49:09Z</dcterms:modified>
</cp:coreProperties>
</file>