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'Evidencias'!$A$4:$F$636</definedName>
    <definedName name="_xlnm._FilterDatabase" localSheetId="4" hidden="1">'Jarras'!$A$4:$G$162</definedName>
    <definedName name="_xlnm.Print_Titles" localSheetId="4">'Jarras'!$1:$4</definedName>
    <definedName name="_xlnm._FilterDatabase" localSheetId="5" hidden="1">'FHW'!$A$4:$G$199</definedName>
    <definedName name="_xlnm.Print_Titles" localSheetId="5">'FHW'!$1:$4</definedName>
    <definedName name="_xlnm._FilterDatabase" localSheetId="6" hidden="1">'Va X Cuenta'!$A$4:$H$177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700</v>
      </c>
      <c r="C6" s="4" t="n">
        <v>2000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53</v>
      </c>
      <c r="E11" s="12" t="n">
        <v>25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54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Monica Morales</t>
        </is>
      </c>
      <c r="C13" s="11" t="n">
        <v>13</v>
      </c>
      <c r="D13" s="11" t="n">
        <v>49</v>
      </c>
      <c r="E13" s="12" t="n">
        <v>29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Enrique César</t>
        </is>
      </c>
      <c r="C14" s="7" t="n">
        <v>10</v>
      </c>
      <c r="D14" s="7" t="n">
        <v>37</v>
      </c>
      <c r="E14" s="8" t="n">
        <v>23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Nancy Rodriguez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48</v>
      </c>
      <c r="E16" s="8" t="n">
        <v>42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36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33</v>
      </c>
      <c r="E18" s="8" t="n">
        <v>33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Yazmin Garcia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37</v>
      </c>
      <c r="E20" s="8" t="n">
        <v>41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42</v>
      </c>
      <c r="E21" s="12" t="n">
        <v>48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35</v>
      </c>
      <c r="E22" s="8" t="n">
        <v>43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Andrea Nava</t>
        </is>
      </c>
      <c r="C23" s="11" t="n">
        <v>8</v>
      </c>
      <c r="D23" s="11" t="n">
        <v>21</v>
      </c>
      <c r="E23" s="12" t="n">
        <v>27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34</v>
      </c>
      <c r="E24" s="8" t="n">
        <v>44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31</v>
      </c>
      <c r="E26" s="8" t="n">
        <v>47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38718</t>
        </is>
      </c>
      <c r="C7" s="12" t="inlineStr">
        <is>
          <t>Paseo Ventura</t>
        </is>
      </c>
      <c r="D7" s="12" t="inlineStr">
        <is>
          <t>Monica Selene Morales Ibarra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38725</t>
        </is>
      </c>
      <c r="C8" s="8" t="inlineStr">
        <is>
          <t>Plaza Oriente ll</t>
        </is>
      </c>
      <c r="D8" s="8" t="inlineStr">
        <is>
          <t>Ariana Janet Gutierrez Martinez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38678</t>
        </is>
      </c>
      <c r="C9" s="12" t="inlineStr">
        <is>
          <t>Power Center las Americas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43183</t>
        </is>
      </c>
      <c r="C10" s="8" t="inlineStr">
        <is>
          <t>Puerta Texcoco</t>
        </is>
      </c>
      <c r="D10" s="8" t="inlineStr">
        <is>
          <t>Monica Selene Morales Ibarra</t>
        </is>
      </c>
      <c r="E10" s="7" t="n">
        <v>6</v>
      </c>
      <c r="F10" s="7" t="n">
        <v>0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38615</t>
        </is>
      </c>
      <c r="C12" s="8" t="inlineStr">
        <is>
          <t>Grand San Jeronimo</t>
        </is>
      </c>
      <c r="D12" s="8" t="inlineStr">
        <is>
          <t>Cesar Alfonso Castillo Romero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38428</t>
        </is>
      </c>
      <c r="C13" s="12" t="inlineStr">
        <is>
          <t>Jardines del 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38571</t>
        </is>
      </c>
      <c r="C14" s="8" t="inlineStr">
        <is>
          <t>Jolie Place</t>
        </is>
      </c>
      <c r="D14" s="8" t="inlineStr">
        <is>
          <t>Cesar Alfonso Castillo Romero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38580</t>
        </is>
      </c>
      <c r="C15" s="12" t="inlineStr">
        <is>
          <t>Pasaje San Jeronimo</t>
        </is>
      </c>
      <c r="D15" s="12" t="inlineStr">
        <is>
          <t>Cesar Alfonso Castillo Romero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38107</t>
        </is>
      </c>
      <c r="C16" s="8" t="inlineStr">
        <is>
          <t>Pedregal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38611</t>
        </is>
      </c>
      <c r="C17" s="12" t="inlineStr">
        <is>
          <t>Plaza Basica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38418</t>
        </is>
      </c>
      <c r="C18" s="8" t="inlineStr">
        <is>
          <t>Plaza Oriente l</t>
        </is>
      </c>
      <c r="D18" s="8" t="inlineStr">
        <is>
          <t>Ariana Janet Gutierrez Martinez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38129</t>
        </is>
      </c>
      <c r="C19" s="12" t="inlineStr">
        <is>
          <t>Plaza Santa Teresa</t>
        </is>
      </c>
      <c r="D19" s="12" t="inlineStr">
        <is>
          <t>Cesar Alfonso Castillo Romero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38468</t>
        </is>
      </c>
      <c r="C20" s="8" t="inlineStr">
        <is>
          <t>Portal Churubusco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38124</t>
        </is>
      </c>
      <c r="C21" s="12" t="inlineStr">
        <is>
          <t>San Jeronimo</t>
        </is>
      </c>
      <c r="D21" s="12" t="inlineStr">
        <is>
          <t>Cesar Alfonso Castillo Romero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38289</t>
        </is>
      </c>
      <c r="C23" s="12" t="inlineStr">
        <is>
          <t>Tezontle l</t>
        </is>
      </c>
      <c r="D23" s="12" t="inlineStr">
        <is>
          <t>Ariana Janet Gutierrez Martinez</t>
        </is>
      </c>
      <c r="E23" s="11" t="n">
        <v>5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38279</t>
        </is>
      </c>
      <c r="C24" s="8" t="inlineStr">
        <is>
          <t>Tezontle ll</t>
        </is>
      </c>
      <c r="D24" s="8" t="inlineStr">
        <is>
          <t>Ariana Janet Gutierrez Martinez</t>
        </is>
      </c>
      <c r="E24" s="7" t="n">
        <v>5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38996</t>
        </is>
      </c>
      <c r="C25" s="12" t="inlineStr">
        <is>
          <t>Valle de Aragon</t>
        </is>
      </c>
      <c r="D25" s="12" t="inlineStr">
        <is>
          <t>Monica Selene Morales Ibarra</t>
        </is>
      </c>
      <c r="E25" s="11" t="n">
        <v>5</v>
      </c>
      <c r="F25" s="11" t="n">
        <v>1</v>
      </c>
      <c r="G25" s="13">
        <f>IFERROR(E25/(E25+F25),0)</f>
        <v/>
      </c>
      <c r="H25" s="16" t="inlineStr">
        <is>
          <t>En meta</t>
        </is>
      </c>
      <c r="I25" s="16" t="inlineStr">
        <is>
          <t>Mantener estándar</t>
        </is>
      </c>
    </row>
    <row r="26" ht="21" customHeight="1">
      <c r="A26" s="7" t="n">
        <v>22</v>
      </c>
      <c r="B26" s="17" t="inlineStr">
        <is>
          <t>38226</t>
        </is>
      </c>
      <c r="C26" s="8" t="inlineStr">
        <is>
          <t>Via kiosko 515</t>
        </is>
      </c>
      <c r="D26" s="8" t="inlineStr">
        <is>
          <t>Ariana Janet Gutierrez Martinez</t>
        </is>
      </c>
      <c r="E26" s="7" t="n">
        <v>5</v>
      </c>
      <c r="F26" s="7" t="n">
        <v>1</v>
      </c>
      <c r="G26" s="9">
        <f>IFERROR(E26/(E26+F26),0)</f>
        <v/>
      </c>
      <c r="H26" s="16" t="inlineStr">
        <is>
          <t>En meta</t>
        </is>
      </c>
      <c r="I26" s="16" t="inlineStr">
        <is>
          <t>Mantener estándar</t>
        </is>
      </c>
    </row>
    <row r="27" ht="21" customHeight="1">
      <c r="A27" s="11" t="n">
        <v>23</v>
      </c>
      <c r="B27" s="15" t="inlineStr">
        <is>
          <t>43162</t>
        </is>
      </c>
      <c r="C27" s="12" t="inlineStr">
        <is>
          <t>Apto Toluca SUE</t>
        </is>
      </c>
      <c r="D27" s="12" t="inlineStr">
        <is>
          <t>Jose De Jesus Magos Arzaluz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38186</t>
        </is>
      </c>
      <c r="C28" s="8" t="inlineStr">
        <is>
          <t>Arboledas</t>
        </is>
      </c>
      <c r="D28" s="8" t="inlineStr">
        <is>
          <t>Nancy Carolina Rodriguez Medina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38419</t>
        </is>
      </c>
      <c r="C29" s="12" t="inlineStr">
        <is>
          <t>Balbuena</t>
        </is>
      </c>
      <c r="D29" s="12" t="inlineStr">
        <is>
          <t>Ariana Janet Gutierrez Martinez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43164</t>
        </is>
      </c>
      <c r="C30" s="8" t="inlineStr">
        <is>
          <t>Blvd Ojo de Agua DT</t>
        </is>
      </c>
      <c r="D30" s="8" t="inlineStr">
        <is>
          <t>Monica Selene Morales Ibarra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38529</t>
        </is>
      </c>
      <c r="C31" s="12" t="inlineStr">
        <is>
          <t>Bosques de Aragon</t>
        </is>
      </c>
      <c r="D31" s="12" t="inlineStr">
        <is>
          <t>Veronica Garcia Ortega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38547</t>
        </is>
      </c>
      <c r="C32" s="8" t="inlineStr">
        <is>
          <t>Carr Toluca Mexico KM48</t>
        </is>
      </c>
      <c r="D32" s="8" t="inlineStr">
        <is>
          <t>Daniel Flores Maldonado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38695</t>
        </is>
      </c>
      <c r="C33" s="12" t="inlineStr">
        <is>
          <t>Cetram 4 Caminos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38401</t>
        </is>
      </c>
      <c r="C34" s="8" t="inlineStr">
        <is>
          <t>Coacalco</t>
        </is>
      </c>
      <c r="D34" s="8" t="inlineStr">
        <is>
          <t>Enrique César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43193</t>
        </is>
      </c>
      <c r="C35" s="12" t="inlineStr">
        <is>
          <t>Cosmopol N1</t>
        </is>
      </c>
      <c r="D35" s="12" t="inlineStr">
        <is>
          <t>Enrique César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38197</t>
        </is>
      </c>
      <c r="C36" s="8" t="inlineStr">
        <is>
          <t>Echegaray</t>
        </is>
      </c>
      <c r="D36" s="8" t="inlineStr">
        <is>
          <t>Yazmin Chabela Guadarrama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43261</t>
        </is>
      </c>
      <c r="C37" s="12" t="inlineStr">
        <is>
          <t>Encuentro Tlanepantla</t>
        </is>
      </c>
      <c r="D37" s="12" t="inlineStr">
        <is>
          <t>Nancy Carolina Rodriguez Medina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38894</t>
        </is>
      </c>
      <c r="C38" s="8" t="inlineStr">
        <is>
          <t>Galerias Perinorte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38447</t>
        </is>
      </c>
      <c r="C40" s="8" t="inlineStr">
        <is>
          <t>Hospital Angeles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43159</t>
        </is>
      </c>
      <c r="C41" s="12" t="inlineStr">
        <is>
          <t>Hospital Angeles del Pedregal II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38371</t>
        </is>
      </c>
      <c r="C42" s="8" t="inlineStr">
        <is>
          <t>Montevideo DT</t>
        </is>
      </c>
      <c r="D42" s="8" t="inlineStr">
        <is>
          <t>Vanessa Carreño Rios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38590</t>
        </is>
      </c>
      <c r="C43" s="12" t="inlineStr">
        <is>
          <t>Parque Toreo II</t>
        </is>
      </c>
      <c r="D43" s="12" t="inlineStr">
        <is>
          <t>Yazmin Chabela Guadarrama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38515</t>
        </is>
      </c>
      <c r="C44" s="8" t="inlineStr">
        <is>
          <t>Patio Ecatepec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38176</t>
        </is>
      </c>
      <c r="C45" s="12" t="inlineStr">
        <is>
          <t>Periferico Satélite DT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38544</t>
        </is>
      </c>
      <c r="C46" s="8" t="inlineStr">
        <is>
          <t>Picacho Ajusco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38810</t>
        </is>
      </c>
      <c r="C47" s="12" t="inlineStr">
        <is>
          <t>Plaza Centenario ( Tenaria)</t>
        </is>
      </c>
      <c r="D47" s="12" t="inlineStr">
        <is>
          <t>Jose De Jesus Magos Arzaluz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38859</t>
        </is>
      </c>
      <c r="C48" s="8" t="inlineStr">
        <is>
          <t>Plaza Satelite II N1</t>
        </is>
      </c>
      <c r="D48" s="8" t="inlineStr">
        <is>
          <t>Yazmin Chabela Guadarrama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38456</t>
        </is>
      </c>
      <c r="C49" s="12" t="inlineStr">
        <is>
          <t>Plaza las Flores</t>
        </is>
      </c>
      <c r="D49" s="12" t="inlineStr">
        <is>
          <t>Enrique César Flores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38339</t>
        </is>
      </c>
      <c r="C50" s="8" t="inlineStr">
        <is>
          <t>San Marcos</t>
        </is>
      </c>
      <c r="D50" s="8" t="inlineStr">
        <is>
          <t>Enrique César Flores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38862</t>
        </is>
      </c>
      <c r="C51" s="12" t="inlineStr">
        <is>
          <t>San Miguel Izcalli</t>
        </is>
      </c>
      <c r="D51" s="12" t="inlineStr">
        <is>
          <t>Enrique César Flores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38442</t>
        </is>
      </c>
      <c r="C52" s="8" t="inlineStr">
        <is>
          <t>Sor Juana</t>
        </is>
      </c>
      <c r="D52" s="8" t="inlineStr">
        <is>
          <t>Nancy Carolina Rodriguez Medina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38166</t>
        </is>
      </c>
      <c r="C53" s="12" t="inlineStr">
        <is>
          <t>Superama SantaFe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38606</t>
        </is>
      </c>
      <c r="C54" s="8" t="inlineStr">
        <is>
          <t>TlalnepantlaCarso</t>
        </is>
      </c>
      <c r="D54" s="8" t="inlineStr">
        <is>
          <t>Nancy Carolina Rodriguez Medina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38656</t>
        </is>
      </c>
      <c r="C55" s="12" t="inlineStr">
        <is>
          <t>Viveros de la Loma</t>
        </is>
      </c>
      <c r="D55" s="12" t="inlineStr">
        <is>
          <t>Yazmin Chabela Guadarrama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38929</t>
        </is>
      </c>
      <c r="C56" s="8" t="inlineStr">
        <is>
          <t>Aeropuerto Toluca AMB</t>
        </is>
      </c>
      <c r="D56" s="8" t="inlineStr">
        <is>
          <t>Jose De Jesus Magos Arzaluz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38103</t>
        </is>
      </c>
      <c r="C57" s="12" t="inlineStr">
        <is>
          <t>Aguilas</t>
        </is>
      </c>
      <c r="D57" s="12" t="inlineStr">
        <is>
          <t>Adriana Alejandra Tanus Buhler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38508</t>
        </is>
      </c>
      <c r="C58" s="8" t="inlineStr">
        <is>
          <t>Ampliacion Santa Fe</t>
        </is>
      </c>
      <c r="D58" s="8" t="inlineStr">
        <is>
          <t>Erika Julieta Contreras Aguilera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38617</t>
        </is>
      </c>
      <c r="C65" s="12" t="inlineStr">
        <is>
          <t>Axomiatla</t>
        </is>
      </c>
      <c r="D65" s="12" t="inlineStr">
        <is>
          <t>Adriana Alejandra Tanus Buhler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38149</t>
        </is>
      </c>
      <c r="C66" s="8" t="inlineStr">
        <is>
          <t>Bellavista</t>
        </is>
      </c>
      <c r="D66" s="8" t="inlineStr">
        <is>
          <t>Yazmin Haydee Garcia Gonzalez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38930</t>
        </is>
      </c>
      <c r="C67" s="12" t="inlineStr">
        <is>
          <t>Blvd. Aeropuerto dt</t>
        </is>
      </c>
      <c r="D67" s="12" t="inlineStr">
        <is>
          <t>Veronica Garcia Ortega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38918</t>
        </is>
      </c>
      <c r="C68" s="8" t="inlineStr">
        <is>
          <t>Bosque Real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38527</t>
        </is>
      </c>
      <c r="C69" s="12" t="inlineStr">
        <is>
          <t>Camarones</t>
        </is>
      </c>
      <c r="D69" s="12" t="inlineStr">
        <is>
          <t>Vanessa Carreño Rios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43011</t>
        </is>
      </c>
      <c r="C70" s="8" t="inlineStr">
        <is>
          <t>Carr Toluca-Atlacomulco DT</t>
        </is>
      </c>
      <c r="D70" s="8" t="inlineStr">
        <is>
          <t>Andrea Nava Guzman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38646</t>
        </is>
      </c>
      <c r="C71" s="12" t="inlineStr">
        <is>
          <t>Carracci</t>
        </is>
      </c>
      <c r="D71" s="12" t="inlineStr">
        <is>
          <t>Adriana Alejandra Tanus Buhler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38607</t>
        </is>
      </c>
      <c r="C72" s="8" t="inlineStr">
        <is>
          <t>Carretera Mexico Toluca KM42</t>
        </is>
      </c>
      <c r="D72" s="8" t="inlineStr">
        <is>
          <t>Erika Julieta Contreras Aguilera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38496</t>
        </is>
      </c>
      <c r="C73" s="12" t="inlineStr">
        <is>
          <t>Casa Taxqueña</t>
        </is>
      </c>
      <c r="D73" s="12" t="inlineStr">
        <is>
          <t>Ariana Janet Gutierrez Martinez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43058</t>
        </is>
      </c>
      <c r="C74" s="8" t="inlineStr">
        <is>
          <t>Casa de Gobierno DT</t>
        </is>
      </c>
      <c r="D74" s="8" t="inlineStr">
        <is>
          <t>Andrea Nava Guzman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38361</t>
        </is>
      </c>
      <c r="C75" s="12" t="inlineStr">
        <is>
          <t>Castorena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38837</t>
        </is>
      </c>
      <c r="C76" s="8" t="inlineStr">
        <is>
          <t>Centenario Azcapotzalco</t>
        </is>
      </c>
      <c r="D76" s="8" t="inlineStr">
        <is>
          <t>Vanessa Carreño Rios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38815</t>
        </is>
      </c>
      <c r="C77" s="12" t="inlineStr">
        <is>
          <t>Central Interlomas</t>
        </is>
      </c>
      <c r="D77" s="12" t="inlineStr">
        <is>
          <t>Areli Anahi Lazcano Lezama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38394</t>
        </is>
      </c>
      <c r="C78" s="8" t="inlineStr">
        <is>
          <t>Centro Comercial Lomas Verdes</t>
        </is>
      </c>
      <c r="D78" s="8" t="inlineStr">
        <is>
          <t>Yazmin Haydee Garcia Gonzalez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38148</t>
        </is>
      </c>
      <c r="C79" s="12" t="inlineStr">
        <is>
          <t>Centro Comercial Santa Fe 1</t>
        </is>
      </c>
      <c r="D79" s="12" t="inlineStr">
        <is>
          <t>Erika Julieta Contreras Aguilera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38225</t>
        </is>
      </c>
      <c r="C80" s="8" t="inlineStr">
        <is>
          <t>Centro Comercial Santa Fe 2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38747</t>
        </is>
      </c>
      <c r="C81" s="12" t="inlineStr">
        <is>
          <t>Centro Comercial Santa Fe 3</t>
        </is>
      </c>
      <c r="D81" s="12" t="inlineStr">
        <is>
          <t>Erika Julieta Contreras Aguilera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38400</t>
        </is>
      </c>
      <c r="C82" s="8" t="inlineStr">
        <is>
          <t>Centro Medico ABC Santa Fe</t>
        </is>
      </c>
      <c r="D82" s="8" t="inlineStr">
        <is>
          <t>Jose De Jesus Magos Arzaluz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38535</t>
        </is>
      </c>
      <c r="C83" s="12" t="inlineStr">
        <is>
          <t>City Center Esmeralda</t>
        </is>
      </c>
      <c r="D83" s="12" t="inlineStr">
        <is>
          <t>Yazmin Haydee Garcia Gonzalez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38438</t>
        </is>
      </c>
      <c r="C84" s="8" t="inlineStr">
        <is>
          <t>City Walk</t>
        </is>
      </c>
      <c r="D84" s="8" t="inlineStr">
        <is>
          <t>Erika Julieta Contreras Aguilera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38351</t>
        </is>
      </c>
      <c r="C85" s="12" t="inlineStr">
        <is>
          <t>Ciudad Jardin l</t>
        </is>
      </c>
      <c r="D85" s="12" t="inlineStr">
        <is>
          <t>Monica Selene Morales Ibarra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38798</t>
        </is>
      </c>
      <c r="C86" s="8" t="inlineStr">
        <is>
          <t>Corp. Televisa Sta Fe</t>
        </is>
      </c>
      <c r="D86" s="8" t="inlineStr">
        <is>
          <t>Jose De Jesus Magos Arzaluz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38709</t>
        </is>
      </c>
      <c r="C87" s="12" t="inlineStr">
        <is>
          <t>Corporativo Barranca</t>
        </is>
      </c>
      <c r="D87" s="12" t="inlineStr">
        <is>
          <t>Manuel Alejandro Avila Molina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38755</t>
        </is>
      </c>
      <c r="C88" s="8" t="inlineStr">
        <is>
          <t>Corporativo Santander</t>
        </is>
      </c>
      <c r="D88" s="8" t="inlineStr">
        <is>
          <t>Jose De Jesus Magos Arzaluz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38704</t>
        </is>
      </c>
      <c r="C89" s="12" t="inlineStr">
        <is>
          <t>Corportivo Banamex</t>
        </is>
      </c>
      <c r="D89" s="12" t="inlineStr">
        <is>
          <t>Erika Julieta Contreras Aguilera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38604</t>
        </is>
      </c>
      <c r="C90" s="8" t="inlineStr">
        <is>
          <t>Cosmopol</t>
        </is>
      </c>
      <c r="D90" s="8" t="inlineStr">
        <is>
          <t>Enrique César Flores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38431</t>
        </is>
      </c>
      <c r="C91" s="12" t="inlineStr">
        <is>
          <t>Eduardo Molina</t>
        </is>
      </c>
      <c r="D91" s="12" t="inlineStr">
        <is>
          <t>Veronica Garcia Ortega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38903</t>
        </is>
      </c>
      <c r="C92" s="8" t="inlineStr">
        <is>
          <t>Encuentro Oceania</t>
        </is>
      </c>
      <c r="D92" s="8" t="inlineStr">
        <is>
          <t>Veronica Garcia Ortega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38995</t>
        </is>
      </c>
      <c r="C93" s="12" t="inlineStr">
        <is>
          <t>Encuentro Oceania II</t>
        </is>
      </c>
      <c r="D93" s="12" t="inlineStr">
        <is>
          <t>Veronica Garcia Ortega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38507</t>
        </is>
      </c>
      <c r="C94" s="8" t="inlineStr">
        <is>
          <t>Espacio Vista del Valle</t>
        </is>
      </c>
      <c r="D94" s="8" t="inlineStr">
        <is>
          <t>Yazmin Haydee Garcia Gonzalez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38372</t>
        </is>
      </c>
      <c r="C95" s="12" t="inlineStr">
        <is>
          <t>Felix Cuevas</t>
        </is>
      </c>
      <c r="D95" s="12" t="inlineStr">
        <is>
          <t>Juan Jesus Zuñiga Flores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38461</t>
        </is>
      </c>
      <c r="C96" s="8" t="inlineStr">
        <is>
          <t>Fuente de Tritones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38363</t>
        </is>
      </c>
      <c r="C97" s="12" t="inlineStr">
        <is>
          <t>Galerias Atizapan</t>
        </is>
      </c>
      <c r="D97" s="12" t="inlineStr">
        <is>
          <t>Yazmin Haydee Garcia Gonzalez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43068</t>
        </is>
      </c>
      <c r="C98" s="8" t="inlineStr">
        <is>
          <t>Galerias Metepec II</t>
        </is>
      </c>
      <c r="D98" s="8" t="inlineStr">
        <is>
          <t>Daniel Flores Maldonado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38512</t>
        </is>
      </c>
      <c r="C99" s="12" t="inlineStr">
        <is>
          <t>Garden Santa Fe</t>
        </is>
      </c>
      <c r="D99" s="12" t="inlineStr">
        <is>
          <t>Jose De Jesus Magos Arzaluz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38230</t>
        </is>
      </c>
      <c r="C100" s="8" t="inlineStr">
        <is>
          <t>ITEMS Edo de Mexico</t>
        </is>
      </c>
      <c r="D100" s="8" t="inlineStr">
        <is>
          <t>Nancy Carolina Rodriguez Medina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43105</t>
        </is>
      </c>
      <c r="C101" s="12" t="inlineStr">
        <is>
          <t>Insurgentes Capital</t>
        </is>
      </c>
      <c r="D101" s="12" t="inlineStr">
        <is>
          <t>Juan Jesus Zuñiga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38112</t>
        </is>
      </c>
      <c r="C102" s="8" t="inlineStr">
        <is>
          <t>Insurgentes Parroquia</t>
        </is>
      </c>
      <c r="D102" s="8" t="inlineStr">
        <is>
          <t>Adriana Alejandra Tanus Buhler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38333</t>
        </is>
      </c>
      <c r="C103" s="12" t="inlineStr">
        <is>
          <t>Izcalli Mega</t>
        </is>
      </c>
      <c r="D103" s="12" t="inlineStr">
        <is>
          <t>Enrique César Flores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38292</t>
        </is>
      </c>
      <c r="C104" s="8" t="inlineStr">
        <is>
          <t>Jesús del Monte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38661</t>
        </is>
      </c>
      <c r="C105" s="12" t="inlineStr">
        <is>
          <t>Jinetes</t>
        </is>
      </c>
      <c r="D105" s="12" t="inlineStr">
        <is>
          <t>Nancy Carolina Rodriguez Medina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43147</t>
        </is>
      </c>
      <c r="C106" s="8" t="inlineStr">
        <is>
          <t>Juarez 70</t>
        </is>
      </c>
      <c r="D106" s="8" t="inlineStr">
        <is>
          <t>Andrea Nava Guzman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38205</t>
        </is>
      </c>
      <c r="C107" s="12" t="inlineStr">
        <is>
          <t>Lindavista</t>
        </is>
      </c>
      <c r="D107" s="12" t="inlineStr">
        <is>
          <t>Vanessa Carreño Rios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38207</t>
        </is>
      </c>
      <c r="C108" s="8" t="inlineStr">
        <is>
          <t>Lindavista II</t>
        </is>
      </c>
      <c r="D108" s="8" t="inlineStr">
        <is>
          <t>Vanessa Carreño Rios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38227</t>
        </is>
      </c>
      <c r="C109" s="12" t="inlineStr">
        <is>
          <t>Lomas Plaza</t>
        </is>
      </c>
      <c r="D109" s="12" t="inlineStr">
        <is>
          <t>Adriana Alejandra Tanus Buhler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38119</t>
        </is>
      </c>
      <c r="C110" s="8" t="inlineStr">
        <is>
          <t>Lomas Verdes</t>
        </is>
      </c>
      <c r="D110" s="8" t="inlineStr">
        <is>
          <t>Yazmin Haydee Garcia Gonzalez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38270</t>
        </is>
      </c>
      <c r="C111" s="12" t="inlineStr">
        <is>
          <t>Lomas Verdes II</t>
        </is>
      </c>
      <c r="D111" s="12" t="inlineStr">
        <is>
          <t>Yazmin Haydee Garcia Gonzalez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38368</t>
        </is>
      </c>
      <c r="C112" s="8" t="inlineStr">
        <is>
          <t>Luna Park</t>
        </is>
      </c>
      <c r="D112" s="8" t="inlineStr">
        <is>
          <t>Enrique César Flores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43034</t>
        </is>
      </c>
      <c r="C113" s="12" t="inlineStr">
        <is>
          <t>Macroplaza Tecamac</t>
        </is>
      </c>
      <c r="D113" s="12" t="inlineStr">
        <is>
          <t>Monica Selene Morales Ibarra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38185</t>
        </is>
      </c>
      <c r="C114" s="8" t="inlineStr">
        <is>
          <t>Magnocentro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38730</t>
        </is>
      </c>
      <c r="C115" s="12" t="inlineStr">
        <is>
          <t>Manacar PB</t>
        </is>
      </c>
      <c r="D115" s="12" t="inlineStr">
        <is>
          <t>Adriana Alejandra Tanus Buhler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38441</t>
        </is>
      </c>
      <c r="C116" s="8" t="inlineStr">
        <is>
          <t>Metepec Plaza del Parque</t>
        </is>
      </c>
      <c r="D116" s="8" t="inlineStr">
        <is>
          <t>Daniel Flores Maldonado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38538</t>
        </is>
      </c>
      <c r="C117" s="12" t="inlineStr">
        <is>
          <t>Monte Pelvoux</t>
        </is>
      </c>
      <c r="D117" s="12" t="inlineStr">
        <is>
          <t>Manuel Alejandro Avila Molina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43142</t>
        </is>
      </c>
      <c r="C118" s="8" t="inlineStr">
        <is>
          <t>Montes Urales</t>
        </is>
      </c>
      <c r="D118" s="8" t="inlineStr">
        <is>
          <t>Adriana Alejandra Tanus Buhler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43111</t>
        </is>
      </c>
      <c r="C119" s="12" t="inlineStr">
        <is>
          <t>Montevideo Insurgentes</t>
        </is>
      </c>
      <c r="D119" s="12" t="inlineStr">
        <is>
          <t>Vanessa Carreño Rios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38674</t>
        </is>
      </c>
      <c r="C120" s="8" t="inlineStr">
        <is>
          <t>Mundo E</t>
        </is>
      </c>
      <c r="D120" s="8" t="inlineStr">
        <is>
          <t>Nancy Carolina Rodriguez Medina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38845</t>
        </is>
      </c>
      <c r="C121" s="12" t="inlineStr">
        <is>
          <t>Mundo E II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38530</t>
        </is>
      </c>
      <c r="C122" s="8" t="inlineStr">
        <is>
          <t>Narvarte</t>
        </is>
      </c>
      <c r="D122" s="8" t="inlineStr">
        <is>
          <t>Juan Jesus Zuñiga Flores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38532</t>
        </is>
      </c>
      <c r="C123" s="12" t="inlineStr">
        <is>
          <t>One o One</t>
        </is>
      </c>
      <c r="D123" s="12" t="inlineStr">
        <is>
          <t>Jose De Jesus Magos Arzaluz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38829</t>
        </is>
      </c>
      <c r="C124" s="8" t="inlineStr">
        <is>
          <t>Outlet Lerma</t>
        </is>
      </c>
      <c r="D124" s="8" t="inlineStr">
        <is>
          <t>Andrea Nava Guzman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38668</t>
        </is>
      </c>
      <c r="C125" s="12" t="inlineStr">
        <is>
          <t>Pabellon Metepec</t>
        </is>
      </c>
      <c r="D125" s="12" t="inlineStr">
        <is>
          <t>Daniel Flores Maldonado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43107</t>
        </is>
      </c>
      <c r="C126" s="8" t="inlineStr">
        <is>
          <t>Pabellón Bosques</t>
        </is>
      </c>
      <c r="D126" s="8" t="inlineStr">
        <is>
          <t>Areli Anahi Lazcano Lezama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38188</t>
        </is>
      </c>
      <c r="C127" s="12" t="inlineStr">
        <is>
          <t>Palmas</t>
        </is>
      </c>
      <c r="D127" s="12" t="inlineStr">
        <is>
          <t>Adriana Alejandra Tanus Buhler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38414</t>
        </is>
      </c>
      <c r="C128" s="8" t="inlineStr">
        <is>
          <t>Park Plaza</t>
        </is>
      </c>
      <c r="D128" s="8" t="inlineStr">
        <is>
          <t>Erika Julieta Contreras Aguilera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38452</t>
        </is>
      </c>
      <c r="C129" s="12" t="inlineStr">
        <is>
          <t>Parque Interlomas</t>
        </is>
      </c>
      <c r="D129" s="12" t="inlineStr">
        <is>
          <t>Areli Anahi Lazcano Lezama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43195</t>
        </is>
      </c>
      <c r="C130" s="8" t="inlineStr">
        <is>
          <t>Parque Jadin kiosko</t>
        </is>
      </c>
      <c r="D130" s="8" t="inlineStr">
        <is>
          <t>Vanessa Carreño Rios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38937</t>
        </is>
      </c>
      <c r="C131" s="12" t="inlineStr">
        <is>
          <t>Parque Tepeyac Piso 1</t>
        </is>
      </c>
      <c r="D131" s="12" t="inlineStr">
        <is>
          <t>Veronica Garcia Ortega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38965</t>
        </is>
      </c>
      <c r="C132" s="8" t="inlineStr">
        <is>
          <t>Parque Tepeyac Piso 2</t>
        </is>
      </c>
      <c r="D132" s="8" t="inlineStr">
        <is>
          <t>Veronica Garcia Ortega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38792</t>
        </is>
      </c>
      <c r="C134" s="8" t="inlineStr">
        <is>
          <t>Pasaje Tlanepantla</t>
        </is>
      </c>
      <c r="D134" s="8" t="inlineStr">
        <is>
          <t>Nancy Carolina Rodriguez Medina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38546</t>
        </is>
      </c>
      <c r="C139" s="12" t="inlineStr">
        <is>
          <t>Patio Claveria</t>
        </is>
      </c>
      <c r="D139" s="12" t="inlineStr">
        <is>
          <t>Vanessa Carreño Rios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38769</t>
        </is>
      </c>
      <c r="C140" s="8" t="inlineStr">
        <is>
          <t>Patio Toluca</t>
        </is>
      </c>
      <c r="D140" s="8" t="inlineStr">
        <is>
          <t>Andrea Nava Guzman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38677</t>
        </is>
      </c>
      <c r="C141" s="12" t="inlineStr">
        <is>
          <t>Patio la Raza</t>
        </is>
      </c>
      <c r="D141" s="12" t="inlineStr">
        <is>
          <t>Vanessa Carreño Rios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38499</t>
        </is>
      </c>
      <c r="C142" s="8" t="inlineStr">
        <is>
          <t>Pennsylvania</t>
        </is>
      </c>
      <c r="D142" s="8" t="inlineStr">
        <is>
          <t>Juan Jesus Zuñiga Flores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38924</t>
        </is>
      </c>
      <c r="C143" s="12" t="inlineStr">
        <is>
          <t>Plaza Aeropuerto</t>
        </is>
      </c>
      <c r="D143" s="12" t="inlineStr">
        <is>
          <t>Veronica Garcia Ortega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38645</t>
        </is>
      </c>
      <c r="C144" s="8" t="inlineStr">
        <is>
          <t>Plaza Central</t>
        </is>
      </c>
      <c r="D144" s="8" t="inlineStr">
        <is>
          <t>Ariana Janet Gutierrez Martinez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38692</t>
        </is>
      </c>
      <c r="C145" s="12" t="inlineStr">
        <is>
          <t>Plaza Exhibimex</t>
        </is>
      </c>
      <c r="D145" s="12" t="inlineStr">
        <is>
          <t>Adriana Alejandra Tanus Buhler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38158</t>
        </is>
      </c>
      <c r="C146" s="8" t="inlineStr">
        <is>
          <t>Plaza Lilas</t>
        </is>
      </c>
      <c r="D146" s="8" t="inlineStr">
        <is>
          <t>Jose De Jesus Magos Arzaluz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38141</t>
        </is>
      </c>
      <c r="C147" s="12" t="inlineStr">
        <is>
          <t>Plaza Mayor Metepec</t>
        </is>
      </c>
      <c r="D147" s="12" t="inlineStr">
        <is>
          <t>Daniel Flores Maldonado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38427</t>
        </is>
      </c>
      <c r="C148" s="8" t="inlineStr">
        <is>
          <t>Plaza Satelite</t>
        </is>
      </c>
      <c r="D148" s="8" t="inlineStr">
        <is>
          <t>Yazmin Chabela Guadarrama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38811</t>
        </is>
      </c>
      <c r="C149" s="12" t="inlineStr">
        <is>
          <t>Plaza Tepeyac</t>
        </is>
      </c>
      <c r="D149" s="12" t="inlineStr">
        <is>
          <t>Veronica Garcia Ortega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38106</t>
        </is>
      </c>
      <c r="C150" s="8" t="inlineStr">
        <is>
          <t>Prado Norte</t>
        </is>
      </c>
      <c r="D150" s="8" t="inlineStr">
        <is>
          <t>Adriana Alejandra Tanus Buhler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38136</t>
        </is>
      </c>
      <c r="C151" s="12" t="inlineStr">
        <is>
          <t>Punta Norte</t>
        </is>
      </c>
      <c r="D151" s="12" t="inlineStr">
        <is>
          <t>Nancy Carolina Rodriguez Medina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43070</t>
        </is>
      </c>
      <c r="C153" s="12" t="inlineStr">
        <is>
          <t>Rojo Gomez DT</t>
        </is>
      </c>
      <c r="D153" s="12" t="inlineStr">
        <is>
          <t>Ariana Janet Gutierrez Martinez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43152</t>
        </is>
      </c>
      <c r="C156" s="8" t="inlineStr">
        <is>
          <t>Samara Satélite</t>
        </is>
      </c>
      <c r="D156" s="8" t="inlineStr">
        <is>
          <t>Yazmin Chabela Guadarrama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38266</t>
        </is>
      </c>
      <c r="C157" s="12" t="inlineStr">
        <is>
          <t>San Mateo</t>
        </is>
      </c>
      <c r="D157" s="12" t="inlineStr">
        <is>
          <t>Yazmin Haydee Garcia Gonzalez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38122</t>
        </is>
      </c>
      <c r="C158" s="8" t="inlineStr">
        <is>
          <t>Santa Fe</t>
        </is>
      </c>
      <c r="D158" s="8" t="inlineStr">
        <is>
          <t>Erika Julieta Contreras Aguilera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38150</t>
        </is>
      </c>
      <c r="C159" s="12" t="inlineStr">
        <is>
          <t>Santa Fe 2</t>
        </is>
      </c>
      <c r="D159" s="12" t="inlineStr">
        <is>
          <t>Erika Julieta Contreras Aguilera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38189</t>
        </is>
      </c>
      <c r="C160" s="8" t="inlineStr">
        <is>
          <t>Santa Fe Imax</t>
        </is>
      </c>
      <c r="D160" s="8" t="inlineStr">
        <is>
          <t>Erika Julieta Contreras Aguilera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38460</t>
        </is>
      </c>
      <c r="C161" s="12" t="inlineStr">
        <is>
          <t>Santa Monica</t>
        </is>
      </c>
      <c r="D161" s="12" t="inlineStr">
        <is>
          <t>Nancy Carolina Rodriguez Medina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38116</t>
        </is>
      </c>
      <c r="C162" s="8" t="inlineStr">
        <is>
          <t>Santa Teresa</t>
        </is>
      </c>
      <c r="D162" s="8" t="inlineStr">
        <is>
          <t>Cesar Alfonso Castillo Romero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38475</t>
        </is>
      </c>
      <c r="C163" s="12" t="inlineStr">
        <is>
          <t>Satelite Centro Civico</t>
        </is>
      </c>
      <c r="D163" s="12" t="inlineStr">
        <is>
          <t>Yazmin Chabela Guadarrama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38925</t>
        </is>
      </c>
      <c r="C164" s="8" t="inlineStr">
        <is>
          <t>Star Medica Lomas Verdes</t>
        </is>
      </c>
      <c r="D164" s="8" t="inlineStr">
        <is>
          <t>Yazmin Haydee Garcia Gonzalez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38992</t>
        </is>
      </c>
      <c r="C165" s="12" t="inlineStr">
        <is>
          <t>Tapo Puerta Oriente</t>
        </is>
      </c>
      <c r="D165" s="12" t="inlineStr">
        <is>
          <t>Veronica Garcia Ortega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38780</t>
        </is>
      </c>
      <c r="C166" s="8" t="inlineStr">
        <is>
          <t>Tec Santa Fe</t>
        </is>
      </c>
      <c r="D166" s="8" t="inlineStr">
        <is>
          <t>Jose De Jesus Magos Arzaluz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38319</t>
        </is>
      </c>
      <c r="C167" s="12" t="inlineStr">
        <is>
          <t>Tecnologico Metepec</t>
        </is>
      </c>
      <c r="D167" s="12" t="inlineStr">
        <is>
          <t>Daniel Flores Maldonado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38233</t>
        </is>
      </c>
      <c r="C168" s="8" t="inlineStr">
        <is>
          <t>Toluca Colon</t>
        </is>
      </c>
      <c r="D168" s="8" t="inlineStr">
        <is>
          <t>Andrea Nava Guzman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38644</t>
        </is>
      </c>
      <c r="C169" s="12" t="inlineStr">
        <is>
          <t>Torre Virreyes</t>
        </is>
      </c>
      <c r="D169" s="12" t="inlineStr">
        <is>
          <t>Manuel Alejandro Avila Molina</t>
        </is>
      </c>
      <c r="E169" s="11" t="n">
        <v>3</v>
      </c>
      <c r="F169" s="11" t="n">
        <v>3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38751</t>
        </is>
      </c>
      <c r="C170" s="8" t="inlineStr">
        <is>
          <t>Torre Zentrrum II</t>
        </is>
      </c>
      <c r="D170" s="8" t="inlineStr">
        <is>
          <t>Jose De Jesus Magos Arzaluz</t>
        </is>
      </c>
      <c r="E170" s="7" t="n">
        <v>3</v>
      </c>
      <c r="F170" s="7" t="n">
        <v>3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43130</t>
        </is>
      </c>
      <c r="C171" s="12" t="inlineStr">
        <is>
          <t>Town Center Nicolás Romero</t>
        </is>
      </c>
      <c r="D171" s="12" t="inlineStr">
        <is>
          <t>Yazmin Haydee Garcia Gonzalez</t>
        </is>
      </c>
      <c r="E171" s="11" t="n">
        <v>3</v>
      </c>
      <c r="F171" s="11" t="n">
        <v>3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38954</t>
        </is>
      </c>
      <c r="C172" s="8" t="inlineStr">
        <is>
          <t>Universidad Anahuac Campus Sur</t>
        </is>
      </c>
      <c r="D172" s="8" t="inlineStr">
        <is>
          <t>Adriana Alejandra Tanus Buhler</t>
        </is>
      </c>
      <c r="E172" s="7" t="n">
        <v>3</v>
      </c>
      <c r="F172" s="7" t="n">
        <v>3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38179</t>
        </is>
      </c>
      <c r="C173" s="12" t="inlineStr">
        <is>
          <t>Universidad Anáhuac</t>
        </is>
      </c>
      <c r="D173" s="12" t="inlineStr">
        <is>
          <t>Areli Anahi Lazcano Lezama</t>
        </is>
      </c>
      <c r="E173" s="11" t="n">
        <v>3</v>
      </c>
      <c r="F173" s="11" t="n">
        <v>3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38951</t>
        </is>
      </c>
      <c r="C174" s="8" t="inlineStr">
        <is>
          <t>Universidad Panamericana</t>
        </is>
      </c>
      <c r="D174" s="8" t="inlineStr">
        <is>
          <t>Juan Jesus Zuñiga Flores</t>
        </is>
      </c>
      <c r="E174" s="7" t="n">
        <v>3</v>
      </c>
      <c r="F174" s="7" t="n">
        <v>3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38374</t>
        </is>
      </c>
      <c r="C175" s="12" t="inlineStr">
        <is>
          <t>Valle Dorado</t>
        </is>
      </c>
      <c r="D175" s="12" t="inlineStr">
        <is>
          <t>Nancy Carolina Rodriguez Medina</t>
        </is>
      </c>
      <c r="E175" s="11" t="n">
        <v>3</v>
      </c>
      <c r="F175" s="11" t="n">
        <v>3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38651</t>
        </is>
      </c>
      <c r="C176" s="8" t="inlineStr">
        <is>
          <t>Via Vallejo</t>
        </is>
      </c>
      <c r="D176" s="8" t="inlineStr">
        <is>
          <t>Vanessa Carreño Rios</t>
        </is>
      </c>
      <c r="E176" s="7" t="n">
        <v>3</v>
      </c>
      <c r="F176" s="7" t="n">
        <v>3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38694</t>
        </is>
      </c>
      <c r="C177" s="12" t="inlineStr">
        <is>
          <t>Villas de la Hacienda</t>
        </is>
      </c>
      <c r="D177" s="12" t="inlineStr">
        <is>
          <t>Nancy Carolina Rodriguez Medina</t>
        </is>
      </c>
      <c r="E177" s="11" t="n">
        <v>3</v>
      </c>
      <c r="F177" s="11" t="n">
        <v>3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38115</t>
        </is>
      </c>
      <c r="C178" s="8" t="inlineStr">
        <is>
          <t>Zona Azul</t>
        </is>
      </c>
      <c r="D178" s="8" t="inlineStr">
        <is>
          <t>Yazmin Haydee Garcia Gonzalez</t>
        </is>
      </c>
      <c r="E178" s="7" t="n">
        <v>3</v>
      </c>
      <c r="F178" s="7" t="n">
        <v>3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38142</t>
        </is>
      </c>
      <c r="C179" s="12" t="inlineStr">
        <is>
          <t>Zona Esmeralda</t>
        </is>
      </c>
      <c r="D179" s="12" t="inlineStr">
        <is>
          <t>Yazmin Haydee Garcia Gonzalez</t>
        </is>
      </c>
      <c r="E179" s="11" t="n">
        <v>3</v>
      </c>
      <c r="F179" s="11" t="n">
        <v>3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38439</t>
        </is>
      </c>
      <c r="C180" s="8" t="inlineStr">
        <is>
          <t>Ángeles Interlomas</t>
        </is>
      </c>
      <c r="D180" s="8" t="inlineStr">
        <is>
          <t>Areli Anahi Lazcano Lezama</t>
        </is>
      </c>
      <c r="E180" s="7" t="n">
        <v>3</v>
      </c>
      <c r="F180" s="7" t="n">
        <v>3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38375</t>
        </is>
      </c>
      <c r="C181" s="12" t="inlineStr">
        <is>
          <t>Americas Ecatepec</t>
        </is>
      </c>
      <c r="D181" s="12" t="inlineStr">
        <is>
          <t>Monica Selene Morales Ibarra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43194</t>
        </is>
      </c>
      <c r="C182" s="8" t="inlineStr">
        <is>
          <t>Atana Lindavista</t>
        </is>
      </c>
      <c r="D182" s="8" t="inlineStr">
        <is>
          <t>Vanessa Carreño Rios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38957</t>
        </is>
      </c>
      <c r="C183" s="12" t="inlineStr">
        <is>
          <t>Avándaro</t>
        </is>
      </c>
      <c r="D183" s="12" t="inlineStr">
        <is>
          <t>Daniel Flores Maldonado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38633</t>
        </is>
      </c>
      <c r="C184" s="8" t="inlineStr">
        <is>
          <t>Carretera Toluca Mexico (plaza cedros DT)</t>
        </is>
      </c>
      <c r="D184" s="8" t="inlineStr">
        <is>
          <t>Erika Julieta Contreras Aguilera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38727</t>
        </is>
      </c>
      <c r="C185" s="12" t="inlineStr">
        <is>
          <t>Centro Tk</t>
        </is>
      </c>
      <c r="D185" s="12" t="inlineStr">
        <is>
          <t>Manuel Alejandro Avila Molina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38773</t>
        </is>
      </c>
      <c r="C186" s="8" t="inlineStr">
        <is>
          <t>Colegio Americano</t>
        </is>
      </c>
      <c r="D186" s="8" t="inlineStr">
        <is>
          <t>Manuel Alejandro Avila Molina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38386</t>
        </is>
      </c>
      <c r="C187" s="12" t="inlineStr">
        <is>
          <t>Duraznos</t>
        </is>
      </c>
      <c r="D187" s="12" t="inlineStr">
        <is>
          <t>Manuel Alejandro Avila Molina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38847</t>
        </is>
      </c>
      <c r="C188" s="8" t="inlineStr">
        <is>
          <t>El Molino</t>
        </is>
      </c>
      <c r="D188" s="8" t="inlineStr">
        <is>
          <t>Andrea Nava Guzman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38549</t>
        </is>
      </c>
      <c r="C189" s="12" t="inlineStr">
        <is>
          <t>Galerias Insurgentes</t>
        </is>
      </c>
      <c r="D189" s="12" t="inlineStr">
        <is>
          <t>Juan Jesus Zuñiga Flores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38138</t>
        </is>
      </c>
      <c r="C190" s="8" t="inlineStr">
        <is>
          <t>Galerias metepec 1</t>
        </is>
      </c>
      <c r="D190" s="8" t="inlineStr">
        <is>
          <t>Daniel Flores Maldonado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38121</t>
        </is>
      </c>
      <c r="C191" s="12" t="inlineStr">
        <is>
          <t>Herradura</t>
        </is>
      </c>
      <c r="D191" s="12" t="inlineStr">
        <is>
          <t>Manuel Alejandro Avila Molina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38366</t>
        </is>
      </c>
      <c r="C192" s="8" t="inlineStr">
        <is>
          <t>Hospital ABC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43059</t>
        </is>
      </c>
      <c r="C193" s="12" t="inlineStr">
        <is>
          <t>La Providencia DT</t>
        </is>
      </c>
      <c r="D193" s="12" t="inlineStr">
        <is>
          <t>Daniel Flores Maldonado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38193</t>
        </is>
      </c>
      <c r="C194" s="8" t="inlineStr">
        <is>
          <t>Metropoli Patriotismo</t>
        </is>
      </c>
      <c r="D194" s="8" t="inlineStr">
        <is>
          <t>Juan Jesus Zuñiga Flores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38716</t>
        </is>
      </c>
      <c r="C195" s="12" t="inlineStr">
        <is>
          <t>Multiplaza Bosques</t>
        </is>
      </c>
      <c r="D195" s="12" t="inlineStr">
        <is>
          <t>Monica Selene Morales Ibarra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38585</t>
        </is>
      </c>
      <c r="C196" s="8" t="inlineStr">
        <is>
          <t>Oasis II</t>
        </is>
      </c>
      <c r="D196" s="8" t="inlineStr">
        <is>
          <t>Jaqueline Cortes Ayala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38553</t>
        </is>
      </c>
      <c r="C197" s="12" t="inlineStr">
        <is>
          <t>Paseo Interlomas II</t>
        </is>
      </c>
      <c r="D197" s="12" t="inlineStr">
        <is>
          <t>Areli Anahi Lazcano Lezama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38720</t>
        </is>
      </c>
      <c r="C198" s="8" t="inlineStr">
        <is>
          <t>Patio Barranca PB</t>
        </is>
      </c>
      <c r="D198" s="8" t="inlineStr">
        <is>
          <t>Manuel Alejandro Avila Molina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38691</t>
        </is>
      </c>
      <c r="C199" s="12" t="inlineStr">
        <is>
          <t>Patio Revolución</t>
        </is>
      </c>
      <c r="D199" s="12" t="inlineStr">
        <is>
          <t>Cesar Alfonso Castillo Romero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38534</t>
        </is>
      </c>
      <c r="C200" s="8" t="inlineStr">
        <is>
          <t>Patio Santa Fe 1</t>
        </is>
      </c>
      <c r="D200" s="8" t="inlineStr">
        <is>
          <t>Erika Julieta Contreras Aguilera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38749</t>
        </is>
      </c>
      <c r="C201" s="12" t="inlineStr">
        <is>
          <t>Patio Santa Fe 2</t>
        </is>
      </c>
      <c r="D201" s="12" t="inlineStr">
        <is>
          <t>Erika Julieta Contreras Aguilera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38587</t>
        </is>
      </c>
      <c r="C202" s="8" t="inlineStr">
        <is>
          <t>Plateros</t>
        </is>
      </c>
      <c r="D202" s="8" t="inlineStr">
        <is>
          <t>Juan Jesus Zuñiga Flores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38429</t>
        </is>
      </c>
      <c r="C203" s="12" t="inlineStr">
        <is>
          <t>Plaza Aragon</t>
        </is>
      </c>
      <c r="D203" s="12" t="inlineStr">
        <is>
          <t>Monica Selene Morales Ibarra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38719</t>
        </is>
      </c>
      <c r="C204" s="8" t="inlineStr">
        <is>
          <t>Plaza Fortuna</t>
        </is>
      </c>
      <c r="D204" s="8" t="inlineStr">
        <is>
          <t>Veronica Garcia Ortega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43132</t>
        </is>
      </c>
      <c r="C205" s="12" t="inlineStr">
        <is>
          <t>Plaza Vista Norte</t>
        </is>
      </c>
      <c r="D205" s="12" t="inlineStr">
        <is>
          <t>Vanessa Carreño Rios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43025</t>
        </is>
      </c>
      <c r="C206" s="8" t="inlineStr">
        <is>
          <t>Punto MAQ</t>
        </is>
      </c>
      <c r="D206" s="8" t="inlineStr">
        <is>
          <t>Jaqueline Cortes Ayala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38502</t>
        </is>
      </c>
      <c r="C207" s="12" t="inlineStr">
        <is>
          <t>San Marcos DT</t>
        </is>
      </c>
      <c r="D207" s="12" t="inlineStr">
        <is>
          <t>Jesus Antonio Elguera Flores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38764</t>
        </is>
      </c>
      <c r="C208" s="8" t="inlineStr">
        <is>
          <t>Star Medica Napoles</t>
        </is>
      </c>
      <c r="D208" s="8" t="inlineStr">
        <is>
          <t>Juan Jesus Zuñiga Flores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38411</t>
        </is>
      </c>
      <c r="C209" s="12" t="inlineStr">
        <is>
          <t>Torres Lindavista</t>
        </is>
      </c>
      <c r="D209" s="12" t="inlineStr">
        <is>
          <t>Vanessa Carreño Rios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38841</t>
        </is>
      </c>
      <c r="C210" s="8" t="inlineStr">
        <is>
          <t>Townsquare Metepec</t>
        </is>
      </c>
      <c r="D210" s="8" t="inlineStr">
        <is>
          <t>Daniel Flores Maldonado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38169</t>
        </is>
      </c>
      <c r="C211" s="12" t="inlineStr">
        <is>
          <t>Altavista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38801</t>
        </is>
      </c>
      <c r="C212" s="8" t="inlineStr">
        <is>
          <t>Antenas PB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38594</t>
        </is>
      </c>
      <c r="C213" s="12" t="inlineStr">
        <is>
          <t>Carretera Mexico Puebla</t>
        </is>
      </c>
      <c r="D213" s="12" t="inlineStr">
        <is>
          <t>Jesus Antonio Elguera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38578</t>
        </is>
      </c>
      <c r="C217" s="12" t="inlineStr">
        <is>
          <t>Galerias Toluca</t>
        </is>
      </c>
      <c r="D217" s="12" t="inlineStr">
        <is>
          <t>Andrea Nava Guzman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38484</t>
        </is>
      </c>
      <c r="C218" s="8" t="inlineStr">
        <is>
          <t>Gandhi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38152</t>
        </is>
      </c>
      <c r="C219" s="12" t="inlineStr">
        <is>
          <t>Insurgentes Relox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38113</t>
        </is>
      </c>
      <c r="C220" s="8" t="inlineStr">
        <is>
          <t>Juan Pablo II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38398</t>
        </is>
      </c>
      <c r="C221" s="12" t="inlineStr">
        <is>
          <t>Mexfund Pedregal</t>
        </is>
      </c>
      <c r="D221" s="12" t="inlineStr">
        <is>
          <t>Cesar Alfonso Castillo Romero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38208</t>
        </is>
      </c>
      <c r="C222" s="8" t="inlineStr">
        <is>
          <t>Miguel Angel de Quevedo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38416</t>
        </is>
      </c>
      <c r="C223" s="12" t="inlineStr">
        <is>
          <t>Mixcoac</t>
        </is>
      </c>
      <c r="D223" s="12" t="inlineStr">
        <is>
          <t>Juan Jesus Zuñiga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38620</t>
        </is>
      </c>
      <c r="C224" s="8" t="inlineStr">
        <is>
          <t>Oasis 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43041</t>
        </is>
      </c>
      <c r="C225" s="12" t="inlineStr">
        <is>
          <t>Parque Aztlan</t>
        </is>
      </c>
      <c r="D225" s="12" t="inlineStr">
        <is>
          <t>Manuel Alejandro Avila Molina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69</v>
      </c>
      <c r="D5" s="11" t="n">
        <v>381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158</v>
      </c>
      <c r="D6" s="7" t="n">
        <v>292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173</v>
      </c>
      <c r="D8" s="7" t="n">
        <v>277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195</v>
      </c>
      <c r="D9" s="11" t="n">
        <v>255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81</v>
      </c>
      <c r="D10" s="7" t="n">
        <v>369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6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38207</t>
        </is>
      </c>
      <c r="B5" s="12" t="inlineStr">
        <is>
          <t>Lindavista II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Tarta_Starbucks Parque Lin.png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6" ht="21" customHeight="1">
      <c r="A6" s="17" t="inlineStr">
        <is>
          <t>38207</t>
        </is>
      </c>
      <c r="B6" s="8" t="inlineStr">
        <is>
          <t>Lindavista II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Tartashowcase_Starbucks Parque Lin.png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7" ht="21" customHeight="1">
      <c r="A7" s="15" t="inlineStr">
        <is>
          <t>43162</t>
        </is>
      </c>
      <c r="B7" s="12" t="inlineStr">
        <is>
          <t>Apto Toluca SUE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 SUE_José de Jesús Magos.jpg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8" ht="21" customHeight="1">
      <c r="A8" s="17" t="inlineStr">
        <is>
          <t>38546</t>
        </is>
      </c>
      <c r="B8" s="8" t="inlineStr">
        <is>
          <t>Patio Claveria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996ed39b-29a8-48b3-bf95-e7adcb5f483a_Starbucks Patio Clav.jpeg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9" ht="21" customHeight="1">
      <c r="A9" s="15" t="inlineStr">
        <is>
          <t>38546</t>
        </is>
      </c>
      <c r="B9" s="12" t="inlineStr">
        <is>
          <t>Patio Claveria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bfe9e098-2663-407d-8bb8-bb1a3f6fa795_Starbucks Patio Clav.jpeg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10" ht="21" customHeight="1">
      <c r="A10" s="17" t="inlineStr">
        <is>
          <t>38810</t>
        </is>
      </c>
      <c r="B10" s="8" t="inlineStr">
        <is>
          <t>Plaza Centenario ( Tenaria)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LAYOUT TENARIA_José de Jesús Magos.jpg</t>
        </is>
      </c>
      <c r="F10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11" ht="21" customHeight="1">
      <c r="A11" s="15" t="inlineStr">
        <is>
          <t>38677</t>
        </is>
      </c>
      <c r="B11" s="12" t="inlineStr">
        <is>
          <t>Patio la Raza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image_Starbucks Patio la R.jpg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12" ht="21" customHeight="1">
      <c r="A12" s="17" t="inlineStr">
        <is>
          <t>38677</t>
        </is>
      </c>
      <c r="B12" s="8" t="inlineStr">
        <is>
          <t>Patio la Raza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image_Starbucks Patio la R.jpg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13" ht="21" customHeight="1">
      <c r="A13" s="15" t="inlineStr">
        <is>
          <t>38166</t>
        </is>
      </c>
      <c r="B13" s="12" t="inlineStr">
        <is>
          <t>Superama SantaFe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Superama Layout_José de Jesús Magos.jpeg</t>
        </is>
      </c>
      <c r="F13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14" ht="21" customHeight="1">
      <c r="A14" s="17" t="inlineStr">
        <is>
          <t>43130</t>
        </is>
      </c>
      <c r="B14" s="8" t="inlineStr">
        <is>
          <t>Town Center Nicolás Romero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IMG-20261007-WA0009_Kevin Arturo Suarez.jpg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15" ht="21" customHeight="1">
      <c r="A15" s="15" t="inlineStr">
        <is>
          <t>43130</t>
        </is>
      </c>
      <c r="B15" s="12" t="inlineStr">
        <is>
          <t>Town Center Nicolás Romero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17913956781488843609933468669229_Kevin Arturo Suarez.jpg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16" ht="21" customHeight="1">
      <c r="A16" s="17" t="inlineStr">
        <is>
          <t>38371</t>
        </is>
      </c>
      <c r="B16" s="8" t="inlineStr">
        <is>
          <t>Montevideo DT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IMG_2115_Starbucks Montevideo.jpeg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1eff2b43-fa2a-4773-8dd6-6eac98b64a65_Starbucks Montevideo.jpeg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18" ht="21" customHeight="1">
      <c r="A18" s="17" t="inlineStr">
        <is>
          <t>38124</t>
        </is>
      </c>
      <c r="B18" s="8" t="inlineStr">
        <is>
          <t>San Jeronimo</t>
        </is>
      </c>
      <c r="C18" s="8" t="inlineStr">
        <is>
          <t>Organización Refrigeradores Back</t>
        </is>
      </c>
      <c r="D18" s="8" t="inlineStr">
        <is>
          <t>Antes</t>
        </is>
      </c>
      <c r="E18" s="8" t="inlineStr">
        <is>
          <t>IMG-20261007-WA0004_Starbucks San Jeroni.jpg</t>
        </is>
      </c>
      <c r="F18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19" ht="21" customHeight="1">
      <c r="A19" s="15" t="inlineStr">
        <is>
          <t>38124</t>
        </is>
      </c>
      <c r="B19" s="12" t="inlineStr">
        <is>
          <t>San Jeronimo</t>
        </is>
      </c>
      <c r="C19" s="12" t="inlineStr">
        <is>
          <t>Organización Refrigeradores Back</t>
        </is>
      </c>
      <c r="D19" s="12" t="inlineStr">
        <is>
          <t>Después</t>
        </is>
      </c>
      <c r="E19" s="12" t="inlineStr">
        <is>
          <t>IMG-20261007-WA0000_Starbucks San Jeroni.jpg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0" ht="21" customHeight="1">
      <c r="A20" s="17" t="inlineStr">
        <is>
          <t>43034</t>
        </is>
      </c>
      <c r="B20" s="8" t="inlineStr">
        <is>
          <t>Macroplaza Tecamac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image_Starbucks Macroplaza.jpg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1" ht="21" customHeight="1">
      <c r="A21" s="15" t="inlineStr">
        <is>
          <t>43034</t>
        </is>
      </c>
      <c r="B21" s="12" t="inlineStr">
        <is>
          <t>Macroplaza Tecamac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image_Starbucks Macroplaza.jpg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22" ht="21" customHeight="1">
      <c r="A22" s="17" t="inlineStr">
        <is>
          <t>38124</t>
        </is>
      </c>
      <c r="B22" s="8" t="inlineStr">
        <is>
          <t>San Jeronimo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IMG_20261007_065834372_HDR_Starbucks San Jeroni 1.jpg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23" ht="21" customHeight="1">
      <c r="A23" s="15" t="inlineStr">
        <is>
          <t>38124</t>
        </is>
      </c>
      <c r="B23" s="12" t="inlineStr">
        <is>
          <t>San Jeronimo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IMG_20261007_065811414_Starbucks San Jeroni 1.jpg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24" ht="21" customHeight="1">
      <c r="A24" s="17" t="inlineStr">
        <is>
          <t>38996</t>
        </is>
      </c>
      <c r="B24" s="8" t="inlineStr">
        <is>
          <t>Valle de Aragon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47f0972a-35b6-4ce9-9537-a2cd541642f5_Starbucks Valle de A.jpeg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25" ht="21" customHeight="1">
      <c r="A25" s="15" t="inlineStr">
        <is>
          <t>38996</t>
        </is>
      </c>
      <c r="B25" s="12" t="inlineStr">
        <is>
          <t>Valle de Aragon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f0701158-597f-4eb7-ab9e-87db91b7c03e_Starbucks Valle de A.jpeg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26" ht="21" customHeight="1">
      <c r="A26" s="17" t="inlineStr">
        <is>
          <t>38996</t>
        </is>
      </c>
      <c r="B26" s="8" t="inlineStr">
        <is>
          <t>Valle de Aragon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be1a8f5b-10a8-426e-896d-006be4d75dd2_Starbucks Valle de A.jpeg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27" ht="21" customHeight="1">
      <c r="A27" s="15" t="inlineStr">
        <is>
          <t>38205</t>
        </is>
      </c>
      <c r="B27" s="12" t="inlineStr">
        <is>
          <t>Lindavista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IMG_5726_Julian Alejandro Flo.jpeg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28" ht="21" customHeight="1">
      <c r="A28" s="17" t="inlineStr">
        <is>
          <t>38205</t>
        </is>
      </c>
      <c r="B28" s="8" t="inlineStr">
        <is>
          <t>Lindavista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IMG_5727_Julian Alejandro Flo.jpeg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29" ht="21" customHeight="1">
      <c r="A29" s="15" t="inlineStr">
        <is>
          <t>38442</t>
        </is>
      </c>
      <c r="B29" s="12" t="inlineStr">
        <is>
          <t>Sor Juana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1d11dd30-6722-40c1-b261-0865d1b90723_Starbucks Sor Juana 1.jpeg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0" ht="21" customHeight="1">
      <c r="A30" s="17" t="inlineStr">
        <is>
          <t>38442</t>
        </is>
      </c>
      <c r="B30" s="8" t="inlineStr">
        <is>
          <t>Sor Juana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00f2da1a-5f3d-4c71-8c87-323bdea44527_Starbucks Sor Juana 1.jpeg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1" ht="21" customHeight="1">
      <c r="A31" s="15" t="inlineStr">
        <is>
          <t>43261</t>
        </is>
      </c>
      <c r="B31" s="12" t="inlineStr">
        <is>
          <t>Encuentro Tlanepantla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Encuentro 1.jpg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2" ht="21" customHeight="1">
      <c r="A32" s="17" t="inlineStr">
        <is>
          <t>43261</t>
        </is>
      </c>
      <c r="B32" s="8" t="inlineStr">
        <is>
          <t>Encuentro Tlanepantla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Encuentro 1.jpg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3" ht="21" customHeight="1">
      <c r="A33" s="15" t="inlineStr">
        <is>
          <t>43261</t>
        </is>
      </c>
      <c r="B33" s="12" t="inlineStr">
        <is>
          <t>Encuentro Tlanepantla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image_Starbucks Encuentro.jpg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4" ht="21" customHeight="1">
      <c r="A34" s="17" t="inlineStr">
        <is>
          <t>38428</t>
        </is>
      </c>
      <c r="B34" s="8" t="inlineStr">
        <is>
          <t>Jardines del Pedregal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image_Jose Arturo Ocampo M.jpg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5" ht="21" customHeight="1">
      <c r="A35" s="15" t="inlineStr">
        <is>
          <t>38428</t>
        </is>
      </c>
      <c r="B35" s="12" t="inlineStr">
        <is>
          <t>Jardines del Pedregal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image_Jose Arturo Ocampo M.jpg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6" ht="21" customHeight="1">
      <c r="A36" s="17" t="inlineStr">
        <is>
          <t>38661</t>
        </is>
      </c>
      <c r="B36" s="8" t="inlineStr">
        <is>
          <t>Jinetes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9804604c-4327-4054-a99e-3142fa8da44e_Starbucks Jinetes 1.jpeg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7" ht="21" customHeight="1">
      <c r="A37" s="15" t="inlineStr">
        <is>
          <t>38661</t>
        </is>
      </c>
      <c r="B37" s="12" t="inlineStr">
        <is>
          <t>Jinetes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f17b9c3b-f64b-4c94-873c-18076527c8f4_Starbucks Jinetes 1.jpeg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8" ht="21" customHeight="1">
      <c r="A38" s="17" t="inlineStr">
        <is>
          <t>38694</t>
        </is>
      </c>
      <c r="B38" s="8" t="inlineStr">
        <is>
          <t>Villas de la Hacienda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image_Starbucks Villas de 1.jpg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9" ht="21" customHeight="1">
      <c r="A39" s="15" t="inlineStr">
        <is>
          <t>38694</t>
        </is>
      </c>
      <c r="B39" s="12" t="inlineStr">
        <is>
          <t>Villas de la Hacienda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image_Starbucks Villas de 1.jpg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0" ht="21" customHeight="1">
      <c r="A40" s="17" t="inlineStr">
        <is>
          <t>38428</t>
        </is>
      </c>
      <c r="B40" s="8" t="inlineStr">
        <is>
          <t>Jardines del Pedregal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3b11d281-a9ad-462a-b5da-e7a4a4b9ec64_Jose Arturo Ocampo M.jpeg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https://grupovips-my.sharepoint.com/personal/enrique_cesar_starbucks_com_mx/Documents/Nube_EnriqueCesar/Aplicaciones/Microsoft%20Forms/Sistema%20de%20Evidencias%20OPS/Evidencia%207/3b11d281-a9ad-462a-b5da-e7a4a4b9ec64_Jose%20Arturo%20Ocampo%20M.jpeg</t>
        </is>
      </c>
    </row>
    <row r="41" ht="21" customHeight="1">
      <c r="A41" s="15" t="inlineStr">
        <is>
          <t>38859</t>
        </is>
      </c>
      <c r="B41" s="12" t="inlineStr">
        <is>
          <t>Plaza Satelite II N1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17913238150913237448880964549420_Starbucks Plaza Sate.jpg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2" ht="21" customHeight="1">
      <c r="A42" s="17" t="inlineStr">
        <is>
          <t>38859</t>
        </is>
      </c>
      <c r="B42" s="8" t="inlineStr">
        <is>
          <t>Plaza Satelite II N1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17913236223112011091372017370380_Starbucks Plaza Sate.jpg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3" ht="21" customHeight="1">
      <c r="A43" s="15" t="inlineStr">
        <is>
          <t>38811</t>
        </is>
      </c>
      <c r="B43" s="12" t="inlineStr">
        <is>
          <t>Plaza Tepeyac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17913225523756563805919114707702_Starbucks Plaza Tepe.jpg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4" ht="21" customHeight="1">
      <c r="A44" s="17" t="inlineStr">
        <is>
          <t>38811</t>
        </is>
      </c>
      <c r="B44" s="8" t="inlineStr">
        <is>
          <t>Plaza Tepeyac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17913225988041106544708540457207_Starbucks Plaza Tepe.jpg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5" ht="21" customHeight="1">
      <c r="A45" s="15" t="inlineStr">
        <is>
          <t>38590</t>
        </is>
      </c>
      <c r="B45" s="12" t="inlineStr">
        <is>
          <t>Parque Toreo II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image_Jaime Arath Correa S.jpg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6" ht="21" customHeight="1">
      <c r="A46" s="17" t="inlineStr">
        <is>
          <t>38590</t>
        </is>
      </c>
      <c r="B46" s="8" t="inlineStr">
        <is>
          <t>Parque Toreo II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image_Jaime Arath Correa S.jpg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image_Starbucks Parque Tep.jpg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image_Starbucks Parque Tep.jpg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49" ht="21" customHeight="1">
      <c r="A49" s="15" t="inlineStr">
        <is>
          <t>38571</t>
        </is>
      </c>
      <c r="B49" s="12" t="inlineStr">
        <is>
          <t>Jolie Place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IMG-20261006-WA0031_Laila America Muñoz.jpg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50" ht="21" customHeight="1">
      <c r="A50" s="17" t="inlineStr">
        <is>
          <t>38571</t>
        </is>
      </c>
      <c r="B50" s="8" t="inlineStr">
        <is>
          <t>Jolie Place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IMG-20261006-WA0030_Laila America Muñoz.jpg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51" ht="21" customHeight="1">
      <c r="A51" s="15" t="inlineStr">
        <is>
          <t>38718</t>
        </is>
      </c>
      <c r="B51" s="12" t="inlineStr">
        <is>
          <t>Paseo Ventura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17913188686078751671653588914196_Guadalupe Camacho Co.jpg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52" ht="21" customHeight="1">
      <c r="A52" s="17" t="inlineStr">
        <is>
          <t>38718</t>
        </is>
      </c>
      <c r="B52" s="8" t="inlineStr">
        <is>
          <t>Paseo Ventura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17913190541662317022667050174421_Guadalupe Camacho Co.jpg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53" ht="21" customHeight="1">
      <c r="A53" s="15" t="inlineStr">
        <is>
          <t>38930</t>
        </is>
      </c>
      <c r="B53" s="12" t="inlineStr">
        <is>
          <t>Blvd. Aeropuerto dt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IMG_3949_Starbucks Boulevard.jpeg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54" ht="21" customHeight="1">
      <c r="A54" s="17" t="inlineStr">
        <is>
          <t>38930</t>
        </is>
      </c>
      <c r="B54" s="8" t="inlineStr">
        <is>
          <t>Blvd. Aeropuerto dt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IMG_3949_Starbucks Boulevard.jpeg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55" ht="21" customHeight="1">
      <c r="A55" s="15" t="inlineStr">
        <is>
          <t>38718</t>
        </is>
      </c>
      <c r="B55" s="12" t="inlineStr">
        <is>
          <t>Paseo Ventura</t>
        </is>
      </c>
      <c r="C55" s="12" t="inlineStr">
        <is>
          <t>Organización Refrigeradores Back</t>
        </is>
      </c>
      <c r="D55" s="12" t="inlineStr">
        <is>
          <t>Antes</t>
        </is>
      </c>
      <c r="E55" s="12" t="inlineStr">
        <is>
          <t>1791316660299432337154264393506_Guadalupe Camacho Co.jpg</t>
        </is>
      </c>
      <c r="F55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56" ht="21" customHeight="1">
      <c r="A56" s="17" t="inlineStr">
        <is>
          <t>38718</t>
        </is>
      </c>
      <c r="B56" s="8" t="inlineStr">
        <is>
          <t>Paseo Ventura</t>
        </is>
      </c>
      <c r="C56" s="8" t="inlineStr">
        <is>
          <t>Organización Refrigeradores Back</t>
        </is>
      </c>
      <c r="D56" s="8" t="inlineStr">
        <is>
          <t>Después</t>
        </is>
      </c>
      <c r="E56" s="8" t="inlineStr">
        <is>
          <t>IMG-20260919-WA0001_Guadalupe Camacho Co.jpg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57" ht="21" customHeight="1">
      <c r="A57" s="15" t="inlineStr">
        <is>
          <t>38718</t>
        </is>
      </c>
      <c r="B57" s="12" t="inlineStr">
        <is>
          <t>Paseo Ventura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17913164951034264566119194566209_Guadalupe Camacho Co.jpg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58" ht="21" customHeight="1">
      <c r="A58" s="17" t="inlineStr">
        <is>
          <t>38569</t>
        </is>
      </c>
      <c r="B58" s="8" t="inlineStr">
        <is>
          <t>Plaza Universidad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63002985-207E-4CED-8C20-774352BF7C6E_Starbucks Plaza Univ.jpeg</t>
        </is>
      </c>
      <c r="F58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59" ht="21" customHeight="1">
      <c r="A59" s="15" t="inlineStr">
        <is>
          <t>38718</t>
        </is>
      </c>
      <c r="B59" s="12" t="inlineStr">
        <is>
          <t>Paseo Ventura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1791316141467_Guadalupe Camacho Co.jpg</t>
        </is>
      </c>
      <c r="F59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60" ht="21" customHeight="1">
      <c r="A60" s="17" t="inlineStr">
        <is>
          <t>38129</t>
        </is>
      </c>
      <c r="B60" s="8" t="inlineStr">
        <is>
          <t>Plaza Santa Teresa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image_Marlene Danaee Herna.jpg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61" ht="21" customHeight="1">
      <c r="A61" s="15" t="inlineStr">
        <is>
          <t>38129</t>
        </is>
      </c>
      <c r="B61" s="12" t="inlineStr">
        <is>
          <t>Plaza Santa Teresa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image_Marlene Danaee Herna.jpg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62" ht="21" customHeight="1">
      <c r="A62" s="17" t="inlineStr">
        <is>
          <t>38351</t>
        </is>
      </c>
      <c r="B62" s="8" t="inlineStr">
        <is>
          <t>Ciudad Jardin l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IMG_2354_Thelma Edith Melende.jpeg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63" ht="21" customHeight="1">
      <c r="A63" s="15" t="inlineStr">
        <is>
          <t>38718</t>
        </is>
      </c>
      <c r="B63" s="12" t="inlineStr">
        <is>
          <t>Paseo Ventura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file_000000008afc81f6bd57a35c45732641_Guadalupe Camacho Co.png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64" ht="21" customHeight="1">
      <c r="A64" s="17" t="inlineStr">
        <is>
          <t>38716</t>
        </is>
      </c>
      <c r="B64" s="8" t="inlineStr">
        <is>
          <t>Multiplaza Bosques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image_Johan Aldair Sanchez.jpg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65" ht="21" customHeight="1">
      <c r="A65" s="15" t="inlineStr">
        <is>
          <t>38511</t>
        </is>
      </c>
      <c r="B65" s="12" t="inlineStr">
        <is>
          <t>Ciudad Jardin ll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17913141193476083806852112419465_Starbucks Ciudad Jar.jpg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66" ht="21" customHeight="1">
      <c r="A66" s="17" t="inlineStr">
        <is>
          <t>38511</t>
        </is>
      </c>
      <c r="B66" s="8" t="inlineStr">
        <is>
          <t>Ciudad Jardin ll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17913141651347264457306986727027_Starbucks Ciudad Jar.jpg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67" ht="21" customHeight="1">
      <c r="A67" s="15" t="inlineStr">
        <is>
          <t>38511</t>
        </is>
      </c>
      <c r="B67" s="12" t="inlineStr">
        <is>
          <t>Ciudad Jardin ll</t>
        </is>
      </c>
      <c r="C67" s="12" t="inlineStr">
        <is>
          <t>Organización Refrigeradores Back</t>
        </is>
      </c>
      <c r="D67" s="12" t="inlineStr">
        <is>
          <t>Antes</t>
        </is>
      </c>
      <c r="E67" s="12" t="inlineStr">
        <is>
          <t>17913139665056773682385208058442_Starbucks Ciudad Jar.jpg</t>
        </is>
      </c>
      <c r="F67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68" ht="21" customHeight="1">
      <c r="A68" s="17" t="inlineStr">
        <is>
          <t>38511</t>
        </is>
      </c>
      <c r="B68" s="8" t="inlineStr">
        <is>
          <t>Ciudad Jardin ll</t>
        </is>
      </c>
      <c r="C68" s="8" t="inlineStr">
        <is>
          <t>Organización Refrigeradores Back</t>
        </is>
      </c>
      <c r="D68" s="8" t="inlineStr">
        <is>
          <t>Después</t>
        </is>
      </c>
      <c r="E68" s="8" t="inlineStr">
        <is>
          <t>IMG-20260921-WA0041_Starbucks Ciudad Jar.jpg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69" ht="21" customHeight="1">
      <c r="A69" s="15" t="inlineStr">
        <is>
          <t>38496</t>
        </is>
      </c>
      <c r="B69" s="12" t="inlineStr">
        <is>
          <t>Casa Taxqueña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image_Karla Alejandra Sánc.jpg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70" ht="21" customHeight="1">
      <c r="A70" s="17" t="inlineStr">
        <is>
          <t>38496</t>
        </is>
      </c>
      <c r="B70" s="8" t="inlineStr">
        <is>
          <t>Casa Taxqueña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image_Karla Alejandra Sánc.jpg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71" ht="21" customHeight="1">
      <c r="A71" s="15" t="inlineStr">
        <is>
          <t>38996</t>
        </is>
      </c>
      <c r="B71" s="12" t="inlineStr">
        <is>
          <t>Valle de Aragon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Valle de A.jpg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72" ht="21" customHeight="1">
      <c r="A72" s="17" t="inlineStr">
        <is>
          <t>38511</t>
        </is>
      </c>
      <c r="B72" s="8" t="inlineStr">
        <is>
          <t>Ciudad Jardin ll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17913135522756891116279417199220_Starbucks Ciudad Jar.jpg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73" ht="21" customHeight="1">
      <c r="A73" s="15" t="inlineStr">
        <is>
          <t>43034</t>
        </is>
      </c>
      <c r="B73" s="12" t="inlineStr">
        <is>
          <t>Macroplaza Tecamac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image_Starbucks Macroplaza.jpg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74" ht="21" customHeight="1">
      <c r="A74" s="17" t="inlineStr">
        <is>
          <t>38351</t>
        </is>
      </c>
      <c r="B74" s="8" t="inlineStr">
        <is>
          <t>Ciudad Jardin l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ed72323e-4cce-4c8b-add1-8bf2f7d6aca0_Thelma Edith Melende.jpeg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75" ht="21" customHeight="1">
      <c r="A75" s="15" t="inlineStr">
        <is>
          <t>38511</t>
        </is>
      </c>
      <c r="B75" s="12" t="inlineStr">
        <is>
          <t>Ciudad Jardin ll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17913133407703264231701820704850_Starbucks Ciudad Jar.jpg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76" ht="21" customHeight="1">
      <c r="A76" s="17" t="inlineStr">
        <is>
          <t>38176</t>
        </is>
      </c>
      <c r="B76" s="8" t="inlineStr">
        <is>
          <t>Periferico Satélite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1791313026619643135665090557771_Starbucks DT Perifer.jpg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77" ht="21" customHeight="1">
      <c r="A77" s="15" t="inlineStr">
        <is>
          <t>38176</t>
        </is>
      </c>
      <c r="B77" s="12" t="inlineStr">
        <is>
          <t>Periferico Satélite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17913130405422894039226106680061_Starbucks DT Perifer.jpg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78" ht="21" customHeight="1">
      <c r="A78" s="17" t="inlineStr">
        <is>
          <t>38511</t>
        </is>
      </c>
      <c r="B78" s="8" t="inlineStr">
        <is>
          <t>Ciudad Jardin ll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17913129316345570448439578496457_Starbucks Ciudad Jar.jpg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79" ht="21" customHeight="1">
      <c r="A79" s="15" t="inlineStr">
        <is>
          <t>38427</t>
        </is>
      </c>
      <c r="B79" s="12" t="inlineStr">
        <is>
          <t>Plaza Satelite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CBE7199C-E42C-4F90-B66C-2F8069E732B2_Starbucks CC Plaza S.jpeg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80" ht="21" customHeight="1">
      <c r="A80" s="17" t="inlineStr">
        <is>
          <t>38427</t>
        </is>
      </c>
      <c r="B80" s="8" t="inlineStr">
        <is>
          <t>Plaza Satelite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image_Starbucks CC Plaza S.jpg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81" ht="21" customHeight="1">
      <c r="A81" s="15" t="inlineStr">
        <is>
          <t>38656</t>
        </is>
      </c>
      <c r="B81" s="12" t="inlineStr">
        <is>
          <t>Viveros de la Loma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image_Starbucks Viveros Sa.jpg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82" ht="21" customHeight="1">
      <c r="A82" s="17" t="inlineStr">
        <is>
          <t>38656</t>
        </is>
      </c>
      <c r="B82" s="8" t="inlineStr">
        <is>
          <t>Viveros de la Loma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image_Starbucks Viveros Sa.jpg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83" ht="21" customHeight="1">
      <c r="A83" s="15" t="inlineStr">
        <is>
          <t>38678</t>
        </is>
      </c>
      <c r="B83" s="12" t="inlineStr">
        <is>
          <t>Power Center las Americas</t>
        </is>
      </c>
      <c r="C83" s="12" t="inlineStr">
        <is>
          <t>Jarras Blender | Cold Foam</t>
        </is>
      </c>
      <c r="D83" s="12" t="inlineStr">
        <is>
          <t>Evidencia</t>
        </is>
      </c>
      <c r="E83" s="12" t="inlineStr">
        <is>
          <t>17913123559984813813165375285305_Starbucks Power Cent.jpg</t>
        </is>
      </c>
      <c r="F8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84" ht="21" customHeight="1">
      <c r="A84" s="17" t="inlineStr">
        <is>
          <t>38684</t>
        </is>
      </c>
      <c r="B84" s="8" t="inlineStr">
        <is>
          <t>Plaza Chimalhuacan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WhatsApp Image 2026-10-06 at 12.41.07 PM_Azul Liliana Cortina.jpeg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85" ht="21" customHeight="1">
      <c r="A85" s="15" t="inlineStr">
        <is>
          <t>38429</t>
        </is>
      </c>
      <c r="B85" s="12" t="inlineStr">
        <is>
          <t>Plaza Aragon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image_Starbucks Plaza Arag.jpg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86" ht="21" customHeight="1">
      <c r="A86" s="17" t="inlineStr">
        <is>
          <t>38226</t>
        </is>
      </c>
      <c r="B86" s="8" t="inlineStr">
        <is>
          <t>Via kiosko 515</t>
        </is>
      </c>
      <c r="C86" s="8" t="inlineStr">
        <is>
          <t>Organización Refrigeradores Back</t>
        </is>
      </c>
      <c r="D86" s="8" t="inlineStr">
        <is>
          <t>Antes</t>
        </is>
      </c>
      <c r="E86" s="8" t="inlineStr">
        <is>
          <t>IMG-20260922-WA0124(1)_Starbucks Via 515 Ki.jpg</t>
        </is>
      </c>
      <c r="F86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87" ht="21" customHeight="1">
      <c r="A87" s="15" t="inlineStr">
        <is>
          <t>38226</t>
        </is>
      </c>
      <c r="B87" s="12" t="inlineStr">
        <is>
          <t>Via kiosko 515</t>
        </is>
      </c>
      <c r="C87" s="12" t="inlineStr">
        <is>
          <t>Organización Refrigeradores Back</t>
        </is>
      </c>
      <c r="D87" s="12" t="inlineStr">
        <is>
          <t>Después</t>
        </is>
      </c>
      <c r="E87" s="12" t="inlineStr">
        <is>
          <t>IMG-20260922-WA0124(1)_Starbucks Via 515 Ki.jpg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88" ht="21" customHeight="1">
      <c r="A88" s="17" t="inlineStr">
        <is>
          <t>38678</t>
        </is>
      </c>
      <c r="B88" s="8" t="inlineStr">
        <is>
          <t>Power Center las Americas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1791311861818174885160359361718_Starbucks Power Cent.jpg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89" ht="21" customHeight="1">
      <c r="A89" s="15" t="inlineStr">
        <is>
          <t>38226</t>
        </is>
      </c>
      <c r="B89" s="12" t="inlineStr">
        <is>
          <t>Via kiosko 515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17913117352918647116902529862479_Starbucks Via 515 Ki.jpg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90" ht="21" customHeight="1">
      <c r="A90" s="17" t="inlineStr">
        <is>
          <t>38226</t>
        </is>
      </c>
      <c r="B90" s="8" t="inlineStr">
        <is>
          <t>Via kiosko 515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17913116364931056994883986013376_Starbucks Via 515 Ki.jpg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91" ht="21" customHeight="1">
      <c r="A91" s="15" t="inlineStr">
        <is>
          <t>38226</t>
        </is>
      </c>
      <c r="B91" s="12" t="inlineStr">
        <is>
          <t>Via kiosko 515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LayOut_Distrital_Ariana_Gutierrez_VIA_515_Fal_Starbucks Via 515 Ki.jpg</t>
        </is>
      </c>
      <c r="F91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92" ht="21" customHeight="1">
      <c r="A92" s="17" t="inlineStr">
        <is>
          <t>43164</t>
        </is>
      </c>
      <c r="B92" s="8" t="inlineStr">
        <is>
          <t>Blvd Ojo de Agua DT</t>
        </is>
      </c>
      <c r="C92" s="8" t="inlineStr">
        <is>
          <t>Jarras Blender | Cold Foam</t>
        </is>
      </c>
      <c r="D92" s="8" t="inlineStr">
        <is>
          <t>Evidencia</t>
        </is>
      </c>
      <c r="E92" s="8" t="inlineStr">
        <is>
          <t>image_Johan Arellano Navar.jpg</t>
        </is>
      </c>
      <c r="F9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93" ht="21" customHeight="1">
      <c r="A93" s="15" t="inlineStr">
        <is>
          <t>43164</t>
        </is>
      </c>
      <c r="B93" s="12" t="inlineStr">
        <is>
          <t>Blvd Ojo de Agua DT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image_Johan Arellano Navar.jpg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94" ht="21" customHeight="1">
      <c r="A94" s="17" t="inlineStr">
        <is>
          <t>38611</t>
        </is>
      </c>
      <c r="B94" s="8" t="inlineStr">
        <is>
          <t>Plaza Basica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image_Karla Alejandra Sánc.jpg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95" ht="21" customHeight="1">
      <c r="A95" s="15" t="inlineStr">
        <is>
          <t>38770</t>
        </is>
      </c>
      <c r="B95" s="12" t="inlineStr">
        <is>
          <t>Gustavo Baz 29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image_Starbucks Gustavo Ba.jpg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96" ht="21" customHeight="1">
      <c r="A96" s="17" t="inlineStr">
        <is>
          <t>38770</t>
        </is>
      </c>
      <c r="B96" s="8" t="inlineStr">
        <is>
          <t>Gustavo Baz 29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image_Starbucks Gustavo Ba.jpg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97" ht="21" customHeight="1">
      <c r="A97" s="15" t="inlineStr">
        <is>
          <t>38992</t>
        </is>
      </c>
      <c r="B97" s="12" t="inlineStr">
        <is>
          <t>Tapo Puerta Oriente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17913106408293035870191920672345_Starbucks Tapo puert.jpg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98" ht="21" customHeight="1">
      <c r="A98" s="17" t="inlineStr">
        <is>
          <t>38992</t>
        </is>
      </c>
      <c r="B98" s="8" t="inlineStr">
        <is>
          <t>Tapo Puerta Oriente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17913106695152127551115200496461_Starbucks Tapo puert.jpg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99" ht="21" customHeight="1">
      <c r="A99" s="15" t="inlineStr">
        <is>
          <t>38431</t>
        </is>
      </c>
      <c r="B99" s="12" t="inlineStr">
        <is>
          <t>Eduardo Molina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ffbecbc5-66b4-4e6e-8fad-5804869daaa5_Ricardo Romo Morales.jpeg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100" ht="21" customHeight="1">
      <c r="A100" s="17" t="inlineStr">
        <is>
          <t>38431</t>
        </is>
      </c>
      <c r="B100" s="8" t="inlineStr">
        <is>
          <t>Eduardo Molina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ffbecbc5-66b4-4e6e-8fad-5804869daaa5_Ricardo Romo Morales.jpeg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101" ht="21" customHeight="1">
      <c r="A101" s="15" t="inlineStr">
        <is>
          <t>38996</t>
        </is>
      </c>
      <c r="B101" s="12" t="inlineStr">
        <is>
          <t>Valle de Aragon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LayOut_Distrital_Monica_Morales_Valle_de_Arag_Monica Selene Morale.jpg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102" ht="21" customHeight="1">
      <c r="A102" s="17" t="inlineStr">
        <is>
          <t>38547</t>
        </is>
      </c>
      <c r="B102" s="8" t="inlineStr">
        <is>
          <t>Carr Toluca Mexico KM48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image_Starbucks Carr Toluc.jpg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103" ht="21" customHeight="1">
      <c r="A103" s="15" t="inlineStr">
        <is>
          <t>38547</t>
        </is>
      </c>
      <c r="B103" s="12" t="inlineStr">
        <is>
          <t>Carr Toluca Mexico KM48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image_Starbucks Carr Toluc.jpg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104" ht="21" customHeight="1">
      <c r="A104" s="17" t="inlineStr">
        <is>
          <t>38567</t>
        </is>
      </c>
      <c r="B104" s="8" t="inlineStr">
        <is>
          <t>Aragon II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image_Starbucks Aragón II 1.jpg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105" ht="21" customHeight="1">
      <c r="A105" s="15" t="inlineStr">
        <is>
          <t>38117</t>
        </is>
      </c>
      <c r="B105" s="12" t="inlineStr">
        <is>
          <t>Satelite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IMG_6475_Starbucks Satelite.jpeg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106" ht="21" customHeight="1">
      <c r="A106" s="17" t="inlineStr">
        <is>
          <t>38117</t>
        </is>
      </c>
      <c r="B106" s="8" t="inlineStr">
        <is>
          <t>Satelite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IMG_6474_Starbucks Satelite.jpeg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107" ht="21" customHeight="1">
      <c r="A107" s="15" t="inlineStr">
        <is>
          <t>38375</t>
        </is>
      </c>
      <c r="B107" s="12" t="inlineStr">
        <is>
          <t>Americas Ecatepec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17913099486013341052799106617083_Starbucks Las Améric.jpg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08" ht="21" customHeight="1">
      <c r="A108" s="17" t="inlineStr">
        <is>
          <t>38567</t>
        </is>
      </c>
      <c r="B108" s="8" t="inlineStr">
        <is>
          <t>Aragon II</t>
        </is>
      </c>
      <c r="C108" s="8" t="inlineStr">
        <is>
          <t>Jarras Blender | Cold Foam</t>
        </is>
      </c>
      <c r="D108" s="8" t="inlineStr">
        <is>
          <t>Evidencia</t>
        </is>
      </c>
      <c r="E108" s="8" t="inlineStr">
        <is>
          <t>processed-938A929A-4EF3-4B71-BC2B-850F5FF0A75_Starbucks Aragón II.jpeg</t>
        </is>
      </c>
      <c r="F10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09" ht="21" customHeight="1">
      <c r="A109" s="15" t="inlineStr">
        <is>
          <t>38567</t>
        </is>
      </c>
      <c r="B109" s="12" t="inlineStr">
        <is>
          <t>Aragon II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original-D759C958-6F4A-404F-BA92-FACC880D6900_Starbucks Aragón II.jpeg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b2fac35f-574a-49df-89e6-80347c1eb3cc_Maria Fernanda Migue.jpeg</t>
        </is>
      </c>
      <c r="F110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111" ht="21" customHeight="1">
      <c r="A111" s="15" t="inlineStr">
        <is>
          <t>43183</t>
        </is>
      </c>
      <c r="B111" s="12" t="inlineStr">
        <is>
          <t>Puerta Texcoco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17913084695416231358909244834984_Starbucks Puerta Tex.jpg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12" ht="21" customHeight="1">
      <c r="A112" s="17" t="inlineStr">
        <is>
          <t>43183</t>
        </is>
      </c>
      <c r="B112" s="8" t="inlineStr">
        <is>
          <t>Puerta Texcoco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1791308325482515797031266281307_Starbucks Puerta Tex.jpg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13" ht="21" customHeight="1">
      <c r="A113" s="15" t="inlineStr">
        <is>
          <t>38695</t>
        </is>
      </c>
      <c r="B113" s="12" t="inlineStr">
        <is>
          <t>Cetram 4 Caminos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image_Starbucks CEMTRAM 4.jpg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114" ht="21" customHeight="1">
      <c r="A114" s="17" t="inlineStr">
        <is>
          <t>38695</t>
        </is>
      </c>
      <c r="B114" s="8" t="inlineStr">
        <is>
          <t>Cetram 4 Caminos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image_Starbucks CEMTRAM 4.jpg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115" ht="21" customHeight="1">
      <c r="A115" s="15" t="inlineStr">
        <is>
          <t>38937</t>
        </is>
      </c>
      <c r="B115" s="12" t="inlineStr">
        <is>
          <t>Parque Tepeyac Piso 1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image_Jessica Mendoza Garc.jpg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116" ht="21" customHeight="1">
      <c r="A116" s="17" t="inlineStr">
        <is>
          <t>38937</t>
        </is>
      </c>
      <c r="B116" s="8" t="inlineStr">
        <is>
          <t>Parque Tepeyac Piso 1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image_Jessica Mendoza Garc.jpg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117" ht="21" customHeight="1">
      <c r="A117" s="15" t="inlineStr">
        <is>
          <t>38136</t>
        </is>
      </c>
      <c r="B117" s="12" t="inlineStr">
        <is>
          <t>Punta Norte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image_Starbucks Punta Nort.jpg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118" ht="21" customHeight="1">
      <c r="A118" s="17" t="inlineStr">
        <is>
          <t>38136</t>
        </is>
      </c>
      <c r="B118" s="8" t="inlineStr">
        <is>
          <t>Punta Norte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image_Starbucks Punta Nort.jpg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19" ht="21" customHeight="1">
      <c r="A119" s="15" t="inlineStr">
        <is>
          <t>38529</t>
        </is>
      </c>
      <c r="B119" s="12" t="inlineStr">
        <is>
          <t>Bosques de Aragon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17913031425722626377559381699309_Fany Jeovana Echever.jpg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20" ht="21" customHeight="1">
      <c r="A120" s="17" t="inlineStr">
        <is>
          <t>38529</t>
        </is>
      </c>
      <c r="B120" s="8" t="inlineStr">
        <is>
          <t>Bosques de Aragon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17913031776705918056396966371346_Fany Jeovana Echever.jpg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21" ht="21" customHeight="1">
      <c r="A121" s="15" t="inlineStr">
        <is>
          <t>38142</t>
        </is>
      </c>
      <c r="B121" s="12" t="inlineStr">
        <is>
          <t>Zona Esmeralda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e1afb4ed-0162-485f-9ac3-80147a0abc60_Hector Ruben Estevez.jpeg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122" ht="21" customHeight="1">
      <c r="A122" s="17" t="inlineStr">
        <is>
          <t>38142</t>
        </is>
      </c>
      <c r="B122" s="8" t="inlineStr">
        <is>
          <t>Zona Esmeralda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8dcc87fc-264b-44ad-821e-1aa7d65e3c9f_Hector Ruben Estevez.jpeg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123" ht="21" customHeight="1">
      <c r="A123" s="15" t="inlineStr">
        <is>
          <t>38674</t>
        </is>
      </c>
      <c r="B123" s="12" t="inlineStr">
        <is>
          <t>Mundo E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20261005_162937_Starbucks Mundo E.jpg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124" ht="21" customHeight="1">
      <c r="A124" s="17" t="inlineStr">
        <is>
          <t>38674</t>
        </is>
      </c>
      <c r="B124" s="8" t="inlineStr">
        <is>
          <t>Mundo E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20261005_162959_Starbucks Mundo E.jpg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125" ht="21" customHeight="1">
      <c r="A125" s="15" t="inlineStr">
        <is>
          <t>38903</t>
        </is>
      </c>
      <c r="B125" s="12" t="inlineStr">
        <is>
          <t>Encuentro Oceania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1791296973343975570138579522664_Starbucks ENCUENTRO.jpg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126" ht="21" customHeight="1">
      <c r="A126" s="17" t="inlineStr">
        <is>
          <t>38903</t>
        </is>
      </c>
      <c r="B126" s="8" t="inlineStr">
        <is>
          <t>Encuentro Oceania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17912970125252488843848010379844_Starbucks ENCUENTRO.jpg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127" ht="21" customHeight="1">
      <c r="A127" s="15" t="inlineStr">
        <is>
          <t>38845</t>
        </is>
      </c>
      <c r="B127" s="12" t="inlineStr">
        <is>
          <t>Mundo E II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17912956049937968772782263336231_Starbucks Mundo E II.jpg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128" ht="21" customHeight="1">
      <c r="A128" s="17" t="inlineStr">
        <is>
          <t>38845</t>
        </is>
      </c>
      <c r="B128" s="8" t="inlineStr">
        <is>
          <t>Mundo E II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1791295665947663141593553280724_Starbucks Mundo E II.jpg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129" ht="21" customHeight="1">
      <c r="A129" s="15" t="inlineStr">
        <is>
          <t>38527</t>
        </is>
      </c>
      <c r="B129" s="12" t="inlineStr">
        <is>
          <t>Camarones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IMG_4889_Andre Menesses Rio.jpeg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130" ht="21" customHeight="1">
      <c r="A130" s="17" t="inlineStr">
        <is>
          <t>38527</t>
        </is>
      </c>
      <c r="B130" s="8" t="inlineStr">
        <is>
          <t>Camarones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WhatsApp Image 2026-10-05 at 22.18.20_Andre Menesses Rio.jpeg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131" ht="21" customHeight="1">
      <c r="A131" s="15" t="inlineStr">
        <is>
          <t>43195</t>
        </is>
      </c>
      <c r="B131" s="12" t="inlineStr">
        <is>
          <t>Parque Jadin kiosko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17912559913497294252600246373548_Starbucks Parque Jar.jpg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132" ht="21" customHeight="1">
      <c r="A132" s="17" t="inlineStr">
        <is>
          <t>43195</t>
        </is>
      </c>
      <c r="B132" s="8" t="inlineStr">
        <is>
          <t>Parque Jadin kiosko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17912561051512112550587102894568_Starbucks Parque Jar.jpg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133" ht="21" customHeight="1">
      <c r="A133" s="15" t="inlineStr">
        <is>
          <t>38193</t>
        </is>
      </c>
      <c r="B133" s="12" t="inlineStr">
        <is>
          <t>Metropoli Patriotismo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17912544654222436689395121411227_Luis Ramses Lozornio.jpg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134" ht="21" customHeight="1">
      <c r="A134" s="17" t="inlineStr">
        <is>
          <t>38193</t>
        </is>
      </c>
      <c r="B134" s="8" t="inlineStr">
        <is>
          <t>Metropoli Patriotismo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1791254495165435678058045704620_Luis Ramses Lozornio.jpg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135" ht="21" customHeight="1">
      <c r="A135" s="15" t="inlineStr">
        <is>
          <t>38792</t>
        </is>
      </c>
      <c r="B135" s="12" t="inlineStr">
        <is>
          <t>Pasaje Tlanepantla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image_Cristian Alexis Posa.jpg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136" ht="21" customHeight="1">
      <c r="A136" s="17" t="inlineStr">
        <is>
          <t>38792</t>
        </is>
      </c>
      <c r="B136" s="8" t="inlineStr">
        <is>
          <t>Pasaje Tlanepantla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image_Cristian Alexis Posa.jpg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137" ht="21" customHeight="1">
      <c r="A137" s="15" t="inlineStr">
        <is>
          <t>38656</t>
        </is>
      </c>
      <c r="B137" s="12" t="inlineStr">
        <is>
          <t>Viveros de la Loma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Viveros Sa.jpg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138" ht="21" customHeight="1">
      <c r="A138" s="17" t="inlineStr">
        <is>
          <t>43111</t>
        </is>
      </c>
      <c r="B138" s="8" t="inlineStr">
        <is>
          <t>Montevideo Insurgentes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WhatsApp Image 2026-10-05 at 7.20.30 PM_David Zaragoza Diaz.jpeg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139" ht="21" customHeight="1">
      <c r="A139" s="15" t="inlineStr">
        <is>
          <t>43111</t>
        </is>
      </c>
      <c r="B139" s="12" t="inlineStr">
        <is>
          <t>Montevideo Insurgentes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WhatsApp Image 2026-10-05 at 7.20.19 PM_David Zaragoza Diaz.jpeg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140" ht="21" customHeight="1">
      <c r="A140" s="17" t="inlineStr">
        <is>
          <t>38725</t>
        </is>
      </c>
      <c r="B140" s="8" t="inlineStr">
        <is>
          <t>Plaza Oriente ll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image_Luis Eduardo Saucedo.jpg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141" ht="21" customHeight="1">
      <c r="A141" s="15" t="inlineStr">
        <is>
          <t>38725</t>
        </is>
      </c>
      <c r="B141" s="12" t="inlineStr">
        <is>
          <t>Plaza Oriente ll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image_Luis Eduardo Saucedo.jpg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142" ht="21" customHeight="1">
      <c r="A142" s="17" t="inlineStr">
        <is>
          <t>38837</t>
        </is>
      </c>
      <c r="B142" s="8" t="inlineStr">
        <is>
          <t>Centenario Azcapotzalco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image_Starbucks Centenario.jpg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143" ht="21" customHeight="1">
      <c r="A143" s="15" t="inlineStr">
        <is>
          <t>38837</t>
        </is>
      </c>
      <c r="B143" s="12" t="inlineStr">
        <is>
          <t>Centenario Azcapotzalco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image_Starbucks Centenario.jpg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144" ht="21" customHeight="1">
      <c r="A144" s="17" t="inlineStr">
        <is>
          <t>43183</t>
        </is>
      </c>
      <c r="B144" s="8" t="inlineStr">
        <is>
          <t>Puerta Texcoco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17912455436066060481844223542154_Starbucks Puerta Tex.jpg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145" ht="21" customHeight="1">
      <c r="A145" s="15" t="inlineStr">
        <is>
          <t>43183</t>
        </is>
      </c>
      <c r="B145" s="12" t="inlineStr">
        <is>
          <t>Puerta Texcoco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Screenshot_2026-10-05-18-13-50-259_com.whatsa_Starbucks Puerta Tex.jpg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146" ht="21" customHeight="1">
      <c r="A146" s="17" t="inlineStr">
        <is>
          <t>38678</t>
        </is>
      </c>
      <c r="B146" s="8" t="inlineStr">
        <is>
          <t>Power Center las Americas</t>
        </is>
      </c>
      <c r="C146" s="8" t="inlineStr">
        <is>
          <t>Organización Refrigeradores Back</t>
        </is>
      </c>
      <c r="D146" s="8" t="inlineStr">
        <is>
          <t>Antes</t>
        </is>
      </c>
      <c r="E146" s="8" t="inlineStr">
        <is>
          <t>17912450247058382824079616512526_Starbucks Power Cent.jpg</t>
        </is>
      </c>
      <c r="F14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147" ht="21" customHeight="1">
      <c r="A147" s="15" t="inlineStr">
        <is>
          <t>38678</t>
        </is>
      </c>
      <c r="B147" s="12" t="inlineStr">
        <is>
          <t>Power Center las Americas</t>
        </is>
      </c>
      <c r="C147" s="12" t="inlineStr">
        <is>
          <t>Organización Refrigeradores Back</t>
        </is>
      </c>
      <c r="D147" s="12" t="inlineStr">
        <is>
          <t>Después</t>
        </is>
      </c>
      <c r="E147" s="12" t="inlineStr">
        <is>
          <t>17912449733719095211395070440540_Starbucks Power Cent.jpg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48" ht="21" customHeight="1">
      <c r="A148" s="17" t="inlineStr">
        <is>
          <t>43183</t>
        </is>
      </c>
      <c r="B148" s="8" t="inlineStr">
        <is>
          <t>Puerta Texcoco</t>
        </is>
      </c>
      <c r="C148" s="8" t="inlineStr">
        <is>
          <t>Organización Refrigeradores Back</t>
        </is>
      </c>
      <c r="D148" s="8" t="inlineStr">
        <is>
          <t>Antes</t>
        </is>
      </c>
      <c r="E148" s="8" t="inlineStr">
        <is>
          <t>Screenshot_2026-10-05-18-08-38-383_com.google_Starbucks Puerta Tex.jpg</t>
        </is>
      </c>
      <c r="F14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49" ht="21" customHeight="1">
      <c r="A149" s="15" t="inlineStr">
        <is>
          <t>43183</t>
        </is>
      </c>
      <c r="B149" s="12" t="inlineStr">
        <is>
          <t>Puerta Texcoco</t>
        </is>
      </c>
      <c r="C149" s="12" t="inlineStr">
        <is>
          <t>Organización Refrigeradores Back</t>
        </is>
      </c>
      <c r="D149" s="12" t="inlineStr">
        <is>
          <t>Después</t>
        </is>
      </c>
      <c r="E149" s="12" t="inlineStr">
        <is>
          <t>20261005_181052-COLLAGE_Starbucks Puerta Tex.jpg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50" ht="21" customHeight="1">
      <c r="A150" s="17" t="inlineStr">
        <is>
          <t>38678</t>
        </is>
      </c>
      <c r="B150" s="8" t="inlineStr">
        <is>
          <t>Power Center las Americas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17912442362273014472213856322333_Starbucks Power Cent.jpg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51" ht="21" customHeight="1">
      <c r="A151" s="15" t="inlineStr">
        <is>
          <t>38678</t>
        </is>
      </c>
      <c r="B151" s="12" t="inlineStr">
        <is>
          <t>Power Center las Americas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IMG-20261005-WA0000_Starbucks Power Cent.jpg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52" ht="21" customHeight="1">
      <c r="A152" s="17" t="inlineStr">
        <is>
          <t>38419</t>
        </is>
      </c>
      <c r="B152" s="8" t="inlineStr">
        <is>
          <t>Balbuena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Balbuena.jpg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53" ht="21" customHeight="1">
      <c r="A153" s="15" t="inlineStr">
        <is>
          <t>38419</t>
        </is>
      </c>
      <c r="B153" s="12" t="inlineStr">
        <is>
          <t>Balbuena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Balbuena.jpg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54" ht="21" customHeight="1">
      <c r="A154" s="17" t="inlineStr">
        <is>
          <t>38375</t>
        </is>
      </c>
      <c r="B154" s="8" t="inlineStr">
        <is>
          <t>Americas Ecatepec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WhatsApp Image 2026-09-25 at 15.19.13_Monica Selene Morale.jpeg</t>
        </is>
      </c>
      <c r="F15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55" ht="21" customHeight="1">
      <c r="A155" s="15" t="inlineStr">
        <is>
          <t>38678</t>
        </is>
      </c>
      <c r="B155" s="12" t="inlineStr">
        <is>
          <t>Power Center las Americas</t>
        </is>
      </c>
      <c r="C155" s="12" t="inlineStr">
        <is>
          <t>Lay Out</t>
        </is>
      </c>
      <c r="D155" s="12" t="inlineStr">
        <is>
          <t>Evidencia</t>
        </is>
      </c>
      <c r="E155" s="12" t="inlineStr">
        <is>
          <t>LayOut_Distrital_Monica_Morales_Power_Center__Monica Selene Morale.jpg</t>
        </is>
      </c>
      <c r="F15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56" ht="21" customHeight="1">
      <c r="A156" s="17" t="inlineStr">
        <is>
          <t>43152</t>
        </is>
      </c>
      <c r="B156" s="8" t="inlineStr">
        <is>
          <t>Samara Satélite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image_Starbucks Samara Sat.jpg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57" ht="21" customHeight="1">
      <c r="A157" s="15" t="inlineStr">
        <is>
          <t>43152</t>
        </is>
      </c>
      <c r="B157" s="12" t="inlineStr">
        <is>
          <t>Samara Satélite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image_Starbucks Samara Sat.jpg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58" ht="21" customHeight="1">
      <c r="A158" s="17" t="inlineStr">
        <is>
          <t>38995</t>
        </is>
      </c>
      <c r="B158" s="8" t="inlineStr">
        <is>
          <t>Encuentro Oceania II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17912395142978186736315692728810_Starbucks Encuentro.jpg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59" ht="21" customHeight="1">
      <c r="A159" s="15" t="inlineStr">
        <is>
          <t>38995</t>
        </is>
      </c>
      <c r="B159" s="12" t="inlineStr">
        <is>
          <t>Encuentro Oceania II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17912394915433539393842938034168_Starbucks Encuentro.jpg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60" ht="21" customHeight="1">
      <c r="A160" s="17" t="inlineStr">
        <is>
          <t>38568</t>
        </is>
      </c>
      <c r="B160" s="8" t="inlineStr">
        <is>
          <t>Av Stim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17912391771124531108292818885423_Starbucks Portal Chu.jpg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61" ht="21" customHeight="1">
      <c r="A161" s="15" t="inlineStr">
        <is>
          <t>38568</t>
        </is>
      </c>
      <c r="B161" s="12" t="inlineStr">
        <is>
          <t>Av Stim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17912392461148449514811345271924_Starbucks Portal Chu.jpg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62" ht="21" customHeight="1">
      <c r="A162" s="17" t="inlineStr">
        <is>
          <t>38468</t>
        </is>
      </c>
      <c r="B162" s="8" t="inlineStr">
        <is>
          <t>Portal Churubusco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20260818_114221_Starbucks Portal Chu.jpg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63" ht="21" customHeight="1">
      <c r="A163" s="15" t="inlineStr">
        <is>
          <t>38468</t>
        </is>
      </c>
      <c r="B163" s="12" t="inlineStr">
        <is>
          <t>Portal Churubusco</t>
        </is>
      </c>
      <c r="C163" s="12" t="inlineStr">
        <is>
          <t>Organización Refrigeradores Back</t>
        </is>
      </c>
      <c r="D163" s="12" t="inlineStr">
        <is>
          <t>Antes</t>
        </is>
      </c>
      <c r="E163" s="12" t="inlineStr">
        <is>
          <t>20260923_133538_Starbucks Portal Chu.jpg</t>
        </is>
      </c>
      <c r="F16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64" ht="21" customHeight="1">
      <c r="A164" s="17" t="inlineStr">
        <is>
          <t>38468</t>
        </is>
      </c>
      <c r="B164" s="8" t="inlineStr">
        <is>
          <t>Portal Churubusco</t>
        </is>
      </c>
      <c r="C164" s="8" t="inlineStr">
        <is>
          <t>Organización Refrigeradores Back</t>
        </is>
      </c>
      <c r="D164" s="8" t="inlineStr">
        <is>
          <t>Después</t>
        </is>
      </c>
      <c r="E164" s="8" t="inlineStr">
        <is>
          <t>20260923_133538_Starbucks Portal Chu.jpg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65" ht="21" customHeight="1">
      <c r="A165" s="15" t="inlineStr">
        <is>
          <t>38611</t>
        </is>
      </c>
      <c r="B165" s="12" t="inlineStr">
        <is>
          <t>Plaza Basica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17912389862813245580839850241056_Starbucks Plaza Basi.jpg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66" ht="21" customHeight="1">
      <c r="A166" s="17" t="inlineStr">
        <is>
          <t>38468</t>
        </is>
      </c>
      <c r="B166" s="8" t="inlineStr">
        <is>
          <t>Portal Churubusco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17912387100222020616101156191975_Starbucks Portal Chu.jpg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67" ht="21" customHeight="1">
      <c r="A167" s="15" t="inlineStr">
        <is>
          <t>38419</t>
        </is>
      </c>
      <c r="B167" s="12" t="inlineStr">
        <is>
          <t>Balbuena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Balbuena.jpg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68" ht="21" customHeight="1">
      <c r="A168" s="17" t="inlineStr">
        <is>
          <t>38418</t>
        </is>
      </c>
      <c r="B168" s="8" t="inlineStr">
        <is>
          <t>Plaza Oriente l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image_Starbucks Plaza Orie.jpg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69" ht="21" customHeight="1">
      <c r="A169" s="15" t="inlineStr">
        <is>
          <t>38197</t>
        </is>
      </c>
      <c r="B169" s="12" t="inlineStr">
        <is>
          <t>Echegaray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Echegaray.jpg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70" ht="21" customHeight="1">
      <c r="A170" s="17" t="inlineStr">
        <is>
          <t>38197</t>
        </is>
      </c>
      <c r="B170" s="8" t="inlineStr">
        <is>
          <t>Echegaray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IMG_3064_Starbucks Echegaray.jpeg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71" ht="21" customHeight="1">
      <c r="A171" s="15" t="inlineStr">
        <is>
          <t>38363</t>
        </is>
      </c>
      <c r="B171" s="12" t="inlineStr">
        <is>
          <t>Galerias Atizapan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IMG_1277_Starbucks Galerias A.jpeg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72" ht="21" customHeight="1">
      <c r="A172" s="17" t="inlineStr">
        <is>
          <t>38363</t>
        </is>
      </c>
      <c r="B172" s="8" t="inlineStr">
        <is>
          <t>Galerias Atizapan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IMG_1275_Starbucks Galerias A.jpeg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73" ht="21" customHeight="1">
      <c r="A173" s="15" t="inlineStr">
        <is>
          <t>38418</t>
        </is>
      </c>
      <c r="B173" s="12" t="inlineStr">
        <is>
          <t>Plaza Oriente l</t>
        </is>
      </c>
      <c r="C173" s="12" t="inlineStr">
        <is>
          <t>Organización Refrigeradores Back</t>
        </is>
      </c>
      <c r="D173" s="12" t="inlineStr">
        <is>
          <t>Antes</t>
        </is>
      </c>
      <c r="E173" s="12" t="inlineStr">
        <is>
          <t>image_Starbucks Plaza Orie 1.jpg</t>
        </is>
      </c>
      <c r="F17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Organización Refrigeradores Back</t>
        </is>
      </c>
      <c r="D174" s="8" t="inlineStr">
        <is>
          <t>Después</t>
        </is>
      </c>
      <c r="E174" s="8" t="inlineStr">
        <is>
          <t>image_Starbucks Plaza Orie 1.jpg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75" ht="21" customHeight="1">
      <c r="A175" s="15" t="inlineStr">
        <is>
          <t>38645</t>
        </is>
      </c>
      <c r="B175" s="12" t="inlineStr">
        <is>
          <t>Plaza Central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IMG_3116_Abraham Josue Matamo.jpeg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76" ht="21" customHeight="1">
      <c r="A176" s="17" t="inlineStr">
        <is>
          <t>38645</t>
        </is>
      </c>
      <c r="B176" s="8" t="inlineStr">
        <is>
          <t>Plaza Central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IMG_3117_Abraham Josue Matamo.jpeg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77" ht="21" customHeight="1">
      <c r="A177" s="15" t="inlineStr">
        <is>
          <t>38418</t>
        </is>
      </c>
      <c r="B177" s="12" t="inlineStr">
        <is>
          <t>Plaza Oriente l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image_Starbucks Plaza Orie 1.jpg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78" ht="21" customHeight="1">
      <c r="A178" s="17" t="inlineStr">
        <is>
          <t>38418</t>
        </is>
      </c>
      <c r="B178" s="8" t="inlineStr">
        <is>
          <t>Plaza Oriente l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LayOut_Distrital_Ariana_Gutierrez_Plaza_Orien_Starbucks Plaza Orie 2.jpg</t>
        </is>
      </c>
      <c r="F17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79" ht="21" customHeight="1">
      <c r="A179" s="15" t="inlineStr">
        <is>
          <t>38270</t>
        </is>
      </c>
      <c r="B179" s="12" t="inlineStr">
        <is>
          <t>Lomas Verdes II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1791235640211698641762299280422_Maria Veronica Carde.jpg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80" ht="21" customHeight="1">
      <c r="A180" s="17" t="inlineStr">
        <is>
          <t>38270</t>
        </is>
      </c>
      <c r="B180" s="8" t="inlineStr">
        <is>
          <t>Lomas Verdes II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17912356111573265178691483101390_Maria Veronica Carde.jpg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81" ht="21" customHeight="1">
      <c r="A181" s="15" t="inlineStr">
        <is>
          <t>38394</t>
        </is>
      </c>
      <c r="B181" s="12" t="inlineStr">
        <is>
          <t>Centro Comercial Lomas Verdes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17912355593561880839924739955846_Starbucks CC Lomas V.jpg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82" ht="21" customHeight="1">
      <c r="A182" s="17" t="inlineStr">
        <is>
          <t>38394</t>
        </is>
      </c>
      <c r="B182" s="8" t="inlineStr">
        <is>
          <t>Centro Comercial Lomas Verdes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17912355876131165036651544940509_Starbucks CC Lomas V.jpg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83" ht="21" customHeight="1">
      <c r="A183" s="15" t="inlineStr">
        <is>
          <t>38611</t>
        </is>
      </c>
      <c r="B183" s="12" t="inlineStr">
        <is>
          <t>Plaza Basica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17912354552921662552084757154019_Starbucks Plaza Basi.jpg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84" ht="21" customHeight="1">
      <c r="A184" s="17" t="inlineStr">
        <is>
          <t>38611</t>
        </is>
      </c>
      <c r="B184" s="8" t="inlineStr">
        <is>
          <t>Plaza Basica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17912354764223926480019655581085_Starbucks Plaza Basi.jpg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85" ht="21" customHeight="1">
      <c r="A185" s="15" t="inlineStr">
        <is>
          <t>38458</t>
        </is>
      </c>
      <c r="B185" s="12" t="inlineStr">
        <is>
          <t>El Rosario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IMG_4710_Starbucks El Rosario.jpeg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86" ht="21" customHeight="1">
      <c r="A186" s="17" t="inlineStr">
        <is>
          <t>38458</t>
        </is>
      </c>
      <c r="B186" s="8" t="inlineStr">
        <is>
          <t>El Rosario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IMG_4709_Starbucks El Rosario.jpeg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87" ht="21" customHeight="1">
      <c r="A187" s="15" t="inlineStr">
        <is>
          <t>38186</t>
        </is>
      </c>
      <c r="B187" s="12" t="inlineStr">
        <is>
          <t>Arboledas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Arboledas.jpg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88" ht="21" customHeight="1">
      <c r="A188" s="17" t="inlineStr">
        <is>
          <t>38186</t>
        </is>
      </c>
      <c r="B188" s="8" t="inlineStr">
        <is>
          <t>Arboledas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Arboledas.jpg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89" ht="21" customHeight="1">
      <c r="A189" s="15" t="inlineStr">
        <is>
          <t>38571</t>
        </is>
      </c>
      <c r="B189" s="12" t="inlineStr">
        <is>
          <t>Jolie Place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WhatsApp Image 2026-10-05 at 1.23.41 PM_Cesar Alfonso Castil.jpeg</t>
        </is>
      </c>
      <c r="F18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90" ht="21" customHeight="1">
      <c r="A190" s="17" t="inlineStr">
        <is>
          <t>38585</t>
        </is>
      </c>
      <c r="B190" s="8" t="inlineStr">
        <is>
          <t>Oasis II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LayOut_Distrital_Jaqueline_Cortes_Ayala_OASIS_Aldo Said Herrera Án.jpg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91" ht="21" customHeight="1">
      <c r="A191" s="15" t="inlineStr">
        <is>
          <t>38620</t>
        </is>
      </c>
      <c r="B191" s="12" t="inlineStr">
        <is>
          <t>Oasis I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LayOut_Distrital_Jaqueline_Cortes_38620_Fall__Marcos Manuel Juarez.jpg</t>
        </is>
      </c>
      <c r="F19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92" ht="21" customHeight="1">
      <c r="A192" s="17" t="inlineStr">
        <is>
          <t>38115</t>
        </is>
      </c>
      <c r="B192" s="8" t="inlineStr">
        <is>
          <t>Zona Azul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17912259259996564319311047080676_Starbucks Zona Azul.jpg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93" ht="21" customHeight="1">
      <c r="A193" s="15" t="inlineStr">
        <is>
          <t>38115</t>
        </is>
      </c>
      <c r="B193" s="12" t="inlineStr">
        <is>
          <t>Zona Azul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1791225959534871280153096173602_Starbucks Zona Azul.jpg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94" ht="21" customHeight="1">
      <c r="A194" s="17" t="inlineStr">
        <is>
          <t>38460</t>
        </is>
      </c>
      <c r="B194" s="8" t="inlineStr">
        <is>
          <t>Santa Monica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IMG_2815_Starbucks Santa Moni.jpeg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95" ht="21" customHeight="1">
      <c r="A195" s="15" t="inlineStr">
        <is>
          <t>38460</t>
        </is>
      </c>
      <c r="B195" s="12" t="inlineStr">
        <is>
          <t>Santa Monica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IMG_2814_Starbucks Santa Moni.jpeg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96" ht="21" customHeight="1">
      <c r="A196" s="17" t="inlineStr">
        <is>
          <t>38651</t>
        </is>
      </c>
      <c r="B196" s="8" t="inlineStr">
        <is>
          <t>Via Vallejo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image_Berenice Ivon Sanche.jpg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97" ht="21" customHeight="1">
      <c r="A197" s="15" t="inlineStr">
        <is>
          <t>38651</t>
        </is>
      </c>
      <c r="B197" s="12" t="inlineStr">
        <is>
          <t>Via Vallejo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image_Berenice Ivon Sanche.jpg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98" ht="21" customHeight="1">
      <c r="A198" s="17" t="inlineStr">
        <is>
          <t>43193</t>
        </is>
      </c>
      <c r="B198" s="8" t="inlineStr">
        <is>
          <t>Cosmopol N1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image_Luis Javier Perez Mo.jpg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99" ht="21" customHeight="1">
      <c r="A199" s="15" t="inlineStr">
        <is>
          <t>43193</t>
        </is>
      </c>
      <c r="B199" s="12" t="inlineStr">
        <is>
          <t>Cosmopol N1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image_Luis Javier Perez Mo 1.jpg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200" ht="21" customHeight="1">
      <c r="A200" s="17" t="inlineStr">
        <is>
          <t>38894</t>
        </is>
      </c>
      <c r="B200" s="8" t="inlineStr">
        <is>
          <t>Galerias Perinorte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EB456F27-2703-4935-8410-774C2FB56EEB_Starbucks Galerias P.jpeg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201" ht="21" customHeight="1">
      <c r="A201" s="15" t="inlineStr">
        <is>
          <t>38894</t>
        </is>
      </c>
      <c r="B201" s="12" t="inlineStr">
        <is>
          <t>Galerias Perinorte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EB456F27-2703-4935-8410-774C2FB56EEB_Starbucks Galerias P 1.jpeg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202" ht="21" customHeight="1">
      <c r="A202" s="17" t="inlineStr">
        <is>
          <t>38924</t>
        </is>
      </c>
      <c r="B202" s="8" t="inlineStr">
        <is>
          <t>Plaza Aeropuerto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17912210420316690443265957650799_Starbucks Plaza aero.jpg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203" ht="21" customHeight="1">
      <c r="A203" s="15" t="inlineStr">
        <is>
          <t>38924</t>
        </is>
      </c>
      <c r="B203" s="12" t="inlineStr">
        <is>
          <t>Plaza Aeropuerto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17912211171705237495059152468946_Starbucks Plaza aero.jpg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204" ht="21" customHeight="1">
      <c r="A204" s="17" t="inlineStr">
        <is>
          <t>38266</t>
        </is>
      </c>
      <c r="B204" s="8" t="inlineStr">
        <is>
          <t>San Mateo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image_Starbucks San Mateo.jpg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205" ht="21" customHeight="1">
      <c r="A205" s="15" t="inlineStr">
        <is>
          <t>38266</t>
        </is>
      </c>
      <c r="B205" s="12" t="inlineStr">
        <is>
          <t>San Mateo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image_Starbucks San Mateo.jpg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206" ht="21" customHeight="1">
      <c r="A206" s="17" t="inlineStr">
        <is>
          <t>38230</t>
        </is>
      </c>
      <c r="B206" s="8" t="inlineStr">
        <is>
          <t>ITEMS Edo de Mexico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IMG20261005110439_Starbucks ITESM Esta.jpg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207" ht="21" customHeight="1">
      <c r="A207" s="15" t="inlineStr">
        <is>
          <t>38230</t>
        </is>
      </c>
      <c r="B207" s="12" t="inlineStr">
        <is>
          <t>ITEMS Edo de Mexico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IMG20261005110404_Starbucks ITESM Esta.jpg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208" ht="21" customHeight="1">
      <c r="A208" s="17" t="inlineStr">
        <is>
          <t>38119</t>
        </is>
      </c>
      <c r="B208" s="8" t="inlineStr">
        <is>
          <t>Lomas Verdes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Screenshot_2026-10-05-10-58-55-238_com.miui.g_Starbucks Lomas Verd.jpg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209" ht="21" customHeight="1">
      <c r="A209" s="15" t="inlineStr">
        <is>
          <t>38119</t>
        </is>
      </c>
      <c r="B209" s="12" t="inlineStr">
        <is>
          <t>Lomas Verdes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Screenshot_2026-10-05-10-59-50-781_com.miui.g_Starbucks Lomas Verd.jpg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210" ht="21" customHeight="1">
      <c r="A210" s="17" t="inlineStr">
        <is>
          <t>38149</t>
        </is>
      </c>
      <c r="B210" s="8" t="inlineStr">
        <is>
          <t>Bellavista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17912193134398227024359828817136_Starbucks Bellavista.jpg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211" ht="21" customHeight="1">
      <c r="A211" s="15" t="inlineStr">
        <is>
          <t>38149</t>
        </is>
      </c>
      <c r="B211" s="12" t="inlineStr">
        <is>
          <t>Bellavista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17912188362495307468192330863349_Starbucks Bellavista.jpg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212" ht="21" customHeight="1">
      <c r="A212" s="17" t="inlineStr">
        <is>
          <t>38561</t>
        </is>
      </c>
      <c r="B212" s="8" t="inlineStr">
        <is>
          <t>Parque Toreo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17912193498812199721199337648635_Sergio Daniel Parra.jpg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213" ht="21" customHeight="1">
      <c r="A213" s="15" t="inlineStr">
        <is>
          <t>38561</t>
        </is>
      </c>
      <c r="B213" s="12" t="inlineStr">
        <is>
          <t>Parque Toreo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17912193720264155290458420034769_Sergio Daniel Parra.jpg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214" ht="21" customHeight="1">
      <c r="A214" s="17" t="inlineStr">
        <is>
          <t>38374</t>
        </is>
      </c>
      <c r="B214" s="8" t="inlineStr">
        <is>
          <t>Valle Dorado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Valle Dora.jpg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215" ht="21" customHeight="1">
      <c r="A215" s="15" t="inlineStr">
        <is>
          <t>38374</t>
        </is>
      </c>
      <c r="B215" s="12" t="inlineStr">
        <is>
          <t>Valle Dorado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Valle Dora.jpg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216" ht="21" customHeight="1">
      <c r="A216" s="17" t="inlineStr">
        <is>
          <t>38456</t>
        </is>
      </c>
      <c r="B216" s="8" t="inlineStr">
        <is>
          <t>Plaza las Flores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17912189527744649180968133783230_Ramon Espinosa Macia.jpg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217" ht="21" customHeight="1">
      <c r="A217" s="15" t="inlineStr">
        <is>
          <t>38456</t>
        </is>
      </c>
      <c r="B217" s="12" t="inlineStr">
        <is>
          <t>Plaza las Flores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17912186942773160045995615029134_Ramon Espinosa Macia.jpg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218" ht="21" customHeight="1">
      <c r="A218" s="17" t="inlineStr">
        <is>
          <t>38606</t>
        </is>
      </c>
      <c r="B218" s="8" t="inlineStr">
        <is>
          <t>TlalnepantlaCarso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IMG_3307_Starbucks Tlalnepant.jpeg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19" ht="21" customHeight="1">
      <c r="A219" s="15" t="inlineStr">
        <is>
          <t>38606</t>
        </is>
      </c>
      <c r="B219" s="12" t="inlineStr">
        <is>
          <t>TlalnepantlaCarso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IMG_3303_Starbucks Tlalnepant.jpeg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20" ht="21" customHeight="1">
      <c r="A220" s="17" t="inlineStr">
        <is>
          <t>38925</t>
        </is>
      </c>
      <c r="B220" s="8" t="inlineStr">
        <is>
          <t>Star Medica Lomas Verdes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Star Medic.jpg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21" ht="21" customHeight="1">
      <c r="A221" s="15" t="inlineStr">
        <is>
          <t>38925</t>
        </is>
      </c>
      <c r="B221" s="12" t="inlineStr">
        <is>
          <t>Star Medica Lomas Verdes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Star Medic.jpg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222" ht="21" customHeight="1">
      <c r="A222" s="17" t="inlineStr">
        <is>
          <t>38535</t>
        </is>
      </c>
      <c r="B222" s="8" t="inlineStr">
        <is>
          <t>City Center Esmeralda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image_Starbucks City Cente.jpg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223" ht="21" customHeight="1">
      <c r="A223" s="15" t="inlineStr">
        <is>
          <t>38535</t>
        </is>
      </c>
      <c r="B223" s="12" t="inlineStr">
        <is>
          <t>City Center Esmeralda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image_Starbucks City Cente.jpg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224" ht="21" customHeight="1">
      <c r="A224" s="17" t="inlineStr">
        <is>
          <t>38507</t>
        </is>
      </c>
      <c r="B224" s="8" t="inlineStr">
        <is>
          <t>Espacio Vista del Valle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image_Eduardo David Reyes.jpg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225" ht="21" customHeight="1">
      <c r="A225" s="15" t="inlineStr">
        <is>
          <t>38507</t>
        </is>
      </c>
      <c r="B225" s="12" t="inlineStr">
        <is>
          <t>Espacio Vista del Valle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image_Eduardo David Reyes.jpg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226" ht="21" customHeight="1">
      <c r="A226" s="17" t="inlineStr">
        <is>
          <t>38419</t>
        </is>
      </c>
      <c r="B226" s="8" t="inlineStr">
        <is>
          <t>Balbuena</t>
        </is>
      </c>
      <c r="C226" s="8" t="inlineStr">
        <is>
          <t>Organización Refrigeradores Back</t>
        </is>
      </c>
      <c r="D226" s="8" t="inlineStr">
        <is>
          <t>Antes</t>
        </is>
      </c>
      <c r="E226" s="8" t="inlineStr">
        <is>
          <t>IMG_0271_Starbucks Balbuena.jpeg</t>
        </is>
      </c>
      <c r="F22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227" ht="21" customHeight="1">
      <c r="A227" s="15" t="inlineStr">
        <is>
          <t>38419</t>
        </is>
      </c>
      <c r="B227" s="12" t="inlineStr">
        <is>
          <t>Balbuena</t>
        </is>
      </c>
      <c r="C227" s="12" t="inlineStr">
        <is>
          <t>Organización Refrigeradores Back</t>
        </is>
      </c>
      <c r="D227" s="12" t="inlineStr">
        <is>
          <t>Después</t>
        </is>
      </c>
      <c r="E227" s="12" t="inlineStr">
        <is>
          <t>IMG_0270_Starbucks Balbuena.jpeg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228" ht="21" customHeight="1">
      <c r="A228" s="17" t="inlineStr">
        <is>
          <t>43043</t>
        </is>
      </c>
      <c r="B228" s="8" t="inlineStr">
        <is>
          <t>Atizapan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IMG_1951_Starbucks Atizapan.jpeg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229" ht="21" customHeight="1">
      <c r="A229" s="15" t="inlineStr">
        <is>
          <t>43043</t>
        </is>
      </c>
      <c r="B229" s="12" t="inlineStr">
        <is>
          <t>Atizapan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IMG_1950_Starbucks Atizapan.jpeg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230" ht="21" customHeight="1">
      <c r="A230" s="17" t="inlineStr">
        <is>
          <t>43164</t>
        </is>
      </c>
      <c r="B230" s="8" t="inlineStr">
        <is>
          <t>Blvd Ojo de Agua DT</t>
        </is>
      </c>
      <c r="C230" s="8" t="inlineStr">
        <is>
          <t>Organización Refrigeradores Back</t>
        </is>
      </c>
      <c r="D230" s="8" t="inlineStr">
        <is>
          <t>Antes</t>
        </is>
      </c>
      <c r="E230" s="8" t="inlineStr">
        <is>
          <t>comparativa_refrigeradores_Johan Arellano Navar.jpeg</t>
        </is>
      </c>
      <c r="F23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231" ht="21" customHeight="1">
      <c r="A231" s="15" t="inlineStr">
        <is>
          <t>43164</t>
        </is>
      </c>
      <c r="B231" s="12" t="inlineStr">
        <is>
          <t>Blvd Ojo de Agua DT</t>
        </is>
      </c>
      <c r="C231" s="12" t="inlineStr">
        <is>
          <t>Organización Refrigeradores Back</t>
        </is>
      </c>
      <c r="D231" s="12" t="inlineStr">
        <is>
          <t>Después</t>
        </is>
      </c>
      <c r="E231" s="12" t="inlineStr">
        <is>
          <t>image_Johan Arellano Navar.jpg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232" ht="21" customHeight="1">
      <c r="A232" s="17" t="inlineStr">
        <is>
          <t>38419</t>
        </is>
      </c>
      <c r="B232" s="8" t="inlineStr">
        <is>
          <t>Balbuena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image_Starbucks Balbuena 1.jpg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233" ht="21" customHeight="1">
      <c r="A233" s="15" t="inlineStr">
        <is>
          <t>38401</t>
        </is>
      </c>
      <c r="B233" s="12" t="inlineStr">
        <is>
          <t>Coacalco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CC Coalcal 1.jpg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234" ht="21" customHeight="1">
      <c r="A234" s="17" t="inlineStr">
        <is>
          <t>38401</t>
        </is>
      </c>
      <c r="B234" s="8" t="inlineStr">
        <is>
          <t>Coacalco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CC Coalcal 1.jpg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235" ht="21" customHeight="1">
      <c r="A235" s="15" t="inlineStr">
        <is>
          <t>38862</t>
        </is>
      </c>
      <c r="B235" s="12" t="inlineStr">
        <is>
          <t>San Miguel Izcalli</t>
        </is>
      </c>
      <c r="C235" s="12" t="inlineStr">
        <is>
          <t>Tarta Maricu</t>
        </is>
      </c>
      <c r="D235" s="12" t="inlineStr">
        <is>
          <t>POS</t>
        </is>
      </c>
      <c r="E235" s="12" t="inlineStr">
        <is>
          <t>image_Starbucks San Miguel 1.jpg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236" ht="21" customHeight="1">
      <c r="A236" s="17" t="inlineStr">
        <is>
          <t>38862</t>
        </is>
      </c>
      <c r="B236" s="8" t="inlineStr">
        <is>
          <t>San Miguel Izcalli</t>
        </is>
      </c>
      <c r="C236" s="8" t="inlineStr">
        <is>
          <t>Tarta Maricu</t>
        </is>
      </c>
      <c r="D236" s="8" t="inlineStr">
        <is>
          <t>Showcase</t>
        </is>
      </c>
      <c r="E236" s="8" t="inlineStr">
        <is>
          <t>image_Starbucks San Miguel 1.jpg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237" ht="21" customHeight="1">
      <c r="A237" s="15" t="inlineStr">
        <is>
          <t>38645</t>
        </is>
      </c>
      <c r="B237" s="12" t="inlineStr">
        <is>
          <t>Plaza Central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IMG_3113_Abraham Josue Matamo.jpeg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238" ht="21" customHeight="1">
      <c r="A238" s="17" t="inlineStr">
        <is>
          <t>38645</t>
        </is>
      </c>
      <c r="B238" s="8" t="inlineStr">
        <is>
          <t>Plaza Central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LayOut_Distrital_Ariana_Janet_Gutierrez_Plaza_Abraham Josue Matamo.jpg</t>
        </is>
      </c>
      <c r="F23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239" ht="21" customHeight="1">
      <c r="A239" s="15" t="inlineStr">
        <is>
          <t>38279</t>
        </is>
      </c>
      <c r="B239" s="12" t="inlineStr">
        <is>
          <t>Tezontle ll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IMG_0562_Starbucks Tezontle I 1.jpeg</t>
        </is>
      </c>
      <c r="F23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240" ht="21" customHeight="1">
      <c r="A240" s="17" t="inlineStr">
        <is>
          <t>38279</t>
        </is>
      </c>
      <c r="B240" s="8" t="inlineStr">
        <is>
          <t>Tezontle ll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image_Starbucks Tezontle I.jpg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241" ht="21" customHeight="1">
      <c r="A241" s="15" t="inlineStr">
        <is>
          <t>38279</t>
        </is>
      </c>
      <c r="B241" s="12" t="inlineStr">
        <is>
          <t>Tezontle ll</t>
        </is>
      </c>
      <c r="C241" s="12" t="inlineStr">
        <is>
          <t>Organización Refrigeradores Back</t>
        </is>
      </c>
      <c r="D241" s="12" t="inlineStr">
        <is>
          <t>Antes</t>
        </is>
      </c>
      <c r="E241" s="12" t="inlineStr">
        <is>
          <t>IMG_0553_Starbucks Tezontle I.jpeg</t>
        </is>
      </c>
      <c r="F24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242" ht="21" customHeight="1">
      <c r="A242" s="17" t="inlineStr">
        <is>
          <t>38279</t>
        </is>
      </c>
      <c r="B242" s="8" t="inlineStr">
        <is>
          <t>Tezontle ll</t>
        </is>
      </c>
      <c r="C242" s="8" t="inlineStr">
        <is>
          <t>Organización Refrigeradores Back</t>
        </is>
      </c>
      <c r="D242" s="8" t="inlineStr">
        <is>
          <t>Después</t>
        </is>
      </c>
      <c r="E242" s="8" t="inlineStr">
        <is>
          <t>fa916a30-7cb6-4282-86af-9edba056c473_Starbucks Tezontle I.jpeg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243" ht="21" customHeight="1">
      <c r="A243" s="15" t="inlineStr">
        <is>
          <t>38279</t>
        </is>
      </c>
      <c r="B243" s="12" t="inlineStr">
        <is>
          <t>Tezontle ll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Tezontle I.jpg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244" ht="21" customHeight="1">
      <c r="A244" s="17" t="inlineStr">
        <is>
          <t>38725</t>
        </is>
      </c>
      <c r="B244" s="8" t="inlineStr">
        <is>
          <t>Plaza Oriente ll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image_Luis Eduardo Saucedo.jpg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245" ht="21" customHeight="1">
      <c r="A245" s="15" t="inlineStr">
        <is>
          <t>38725</t>
        </is>
      </c>
      <c r="B245" s="12" t="inlineStr">
        <is>
          <t>Plaza Oriente ll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image_Luis Eduardo Saucedo.jpg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46" ht="21" customHeight="1">
      <c r="A246" s="17" t="inlineStr">
        <is>
          <t>38725</t>
        </is>
      </c>
      <c r="B246" s="8" t="inlineStr">
        <is>
          <t>Plaza Oriente ll</t>
        </is>
      </c>
      <c r="C246" s="8" t="inlineStr">
        <is>
          <t>Organización Refrigeradores Back</t>
        </is>
      </c>
      <c r="D246" s="8" t="inlineStr">
        <is>
          <t>Antes</t>
        </is>
      </c>
      <c r="E246" s="8" t="inlineStr">
        <is>
          <t>IMG_2978_Luis Eduardo Saucedo.jpeg</t>
        </is>
      </c>
      <c r="F246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47" ht="21" customHeight="1">
      <c r="A247" s="15" t="inlineStr">
        <is>
          <t>38725</t>
        </is>
      </c>
      <c r="B247" s="12" t="inlineStr">
        <is>
          <t>Plaza Oriente ll</t>
        </is>
      </c>
      <c r="C247" s="12" t="inlineStr">
        <is>
          <t>Organización Refrigeradores Back</t>
        </is>
      </c>
      <c r="D247" s="12" t="inlineStr">
        <is>
          <t>Después</t>
        </is>
      </c>
      <c r="E247" s="12" t="inlineStr">
        <is>
          <t>IMG_2978_Luis Eduardo Saucedo.jpeg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48" ht="21" customHeight="1">
      <c r="A248" s="17" t="inlineStr">
        <is>
          <t>38725</t>
        </is>
      </c>
      <c r="B248" s="8" t="inlineStr">
        <is>
          <t>Plaza Oriente ll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IMG_3115_Luis Eduardo Saucedo.jpeg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49" ht="21" customHeight="1">
      <c r="A249" s="15" t="inlineStr">
        <is>
          <t>38289</t>
        </is>
      </c>
      <c r="B249" s="12" t="inlineStr">
        <is>
          <t>Tezontle l</t>
        </is>
      </c>
      <c r="C249" s="12" t="inlineStr">
        <is>
          <t>Organización Refrigeradores Back</t>
        </is>
      </c>
      <c r="D249" s="12" t="inlineStr">
        <is>
          <t>Antes</t>
        </is>
      </c>
      <c r="E249" s="12" t="inlineStr">
        <is>
          <t>1790983961363250394512234763234_Starbucks Tezontle.jpg</t>
        </is>
      </c>
      <c r="F249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50" ht="21" customHeight="1">
      <c r="A250" s="17" t="inlineStr">
        <is>
          <t>38289</t>
        </is>
      </c>
      <c r="B250" s="8" t="inlineStr">
        <is>
          <t>Tezontle l</t>
        </is>
      </c>
      <c r="C250" s="8" t="inlineStr">
        <is>
          <t>Organización Refrigeradores Back</t>
        </is>
      </c>
      <c r="D250" s="8" t="inlineStr">
        <is>
          <t>Después</t>
        </is>
      </c>
      <c r="E250" s="8" t="inlineStr">
        <is>
          <t>17909892104576690091550664206030_Starbucks Tezontle.jpg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51" ht="21" customHeight="1">
      <c r="A251" s="15" t="inlineStr">
        <is>
          <t>38152</t>
        </is>
      </c>
      <c r="B251" s="12" t="inlineStr">
        <is>
          <t>Insurgentes Relox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PHOTO-2026-09-30-19-33-36 (1)_Starbucks Relox.jpg</t>
        </is>
      </c>
      <c r="F251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52" ht="21" customHeight="1">
      <c r="A252" s="17" t="inlineStr">
        <is>
          <t>38587</t>
        </is>
      </c>
      <c r="B252" s="8" t="inlineStr">
        <is>
          <t>Plateros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Plateros.jpg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53" ht="21" customHeight="1">
      <c r="A253" s="15" t="inlineStr">
        <is>
          <t>38289</t>
        </is>
      </c>
      <c r="B253" s="12" t="inlineStr">
        <is>
          <t>Tezontle l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17909831018607933238561413535986_Starbucks Tezontle.jpg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54" ht="21" customHeight="1">
      <c r="A254" s="17" t="inlineStr">
        <is>
          <t>38289</t>
        </is>
      </c>
      <c r="B254" s="8" t="inlineStr">
        <is>
          <t>Tezontle l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17909827139053057637979810608048_Starbucks Tezontle.jpg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55" ht="21" customHeight="1">
      <c r="A255" s="15" t="inlineStr">
        <is>
          <t>38289</t>
        </is>
      </c>
      <c r="B255" s="12" t="inlineStr">
        <is>
          <t>Tezontle l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LayOut_Distrital_Ariana_Janet_Gutierrez_Tezon_Starbucks Tezontle.jpg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56" ht="21" customHeight="1">
      <c r="A256" s="17" t="inlineStr">
        <is>
          <t>38361</t>
        </is>
      </c>
      <c r="B256" s="8" t="inlineStr">
        <is>
          <t>Castorena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image_Luis Felipe Lemus Ro.jpg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57" ht="21" customHeight="1">
      <c r="A257" s="15" t="inlineStr">
        <is>
          <t>38549</t>
        </is>
      </c>
      <c r="B257" s="12" t="inlineStr">
        <is>
          <t>Galerias Insurgentes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image_Sharon Marely Piedra.jpg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58" ht="21" customHeight="1">
      <c r="A258" s="17" t="inlineStr">
        <is>
          <t>38747</t>
        </is>
      </c>
      <c r="B258" s="8" t="inlineStr">
        <is>
          <t>Centro Comercial Santa Fe 3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image_Melisa Moran Viveros.jpg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59" ht="21" customHeight="1">
      <c r="A259" s="15" t="inlineStr">
        <is>
          <t>38544</t>
        </is>
      </c>
      <c r="B259" s="12" t="inlineStr">
        <is>
          <t>Picacho Ajusco</t>
        </is>
      </c>
      <c r="C259" s="12" t="inlineStr">
        <is>
          <t>Lay Out</t>
        </is>
      </c>
      <c r="D259" s="12" t="inlineStr">
        <is>
          <t>Evidencia</t>
        </is>
      </c>
      <c r="E259" s="12" t="inlineStr">
        <is>
          <t>WhatsApp Image 2026-10-02 at 12.05.49 PM_Cesar Alfonso Castil 1.jpeg</t>
        </is>
      </c>
      <c r="F259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60" ht="21" customHeight="1">
      <c r="A260" s="17" t="inlineStr">
        <is>
          <t>38499</t>
        </is>
      </c>
      <c r="B260" s="8" t="inlineStr">
        <is>
          <t>Pennsylvania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image_Maria Fernanda Migue.jpg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61" ht="21" customHeight="1">
      <c r="A261" s="15" t="inlineStr">
        <is>
          <t>38798</t>
        </is>
      </c>
      <c r="B261" s="12" t="inlineStr">
        <is>
          <t>Corp. Televisa Sta Fe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IMG-20260929-WA0104_Starbucks Corporativ.jpg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62" ht="21" customHeight="1">
      <c r="A262" s="17" t="inlineStr">
        <is>
          <t>38477</t>
        </is>
      </c>
      <c r="B262" s="8" t="inlineStr">
        <is>
          <t>Zentralia churubusco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IMG_2847_Starbucks Zentralia.jpeg</t>
        </is>
      </c>
      <c r="F262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63" ht="21" customHeight="1">
      <c r="A263" s="15" t="inlineStr">
        <is>
          <t>38663</t>
        </is>
      </c>
      <c r="B263" s="12" t="inlineStr">
        <is>
          <t>Copilco 20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LayOut_Distrital_Jaqueline_Cortes_Ayala_Copil_Starbucks Copilco 20.jpg</t>
        </is>
      </c>
      <c r="F263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64" ht="21" customHeight="1">
      <c r="A264" s="17" t="inlineStr">
        <is>
          <t>38139</t>
        </is>
      </c>
      <c r="B264" s="8" t="inlineStr">
        <is>
          <t>Plaza Inn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3aa7c6ac-35b8-4e16-a518-6fa1b505f30e_Starbucks Plaza Inn.jpeg</t>
        </is>
      </c>
      <c r="F26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65" ht="21" customHeight="1">
      <c r="A265" s="15" t="inlineStr">
        <is>
          <t>38136</t>
        </is>
      </c>
      <c r="B265" s="12" t="inlineStr">
        <is>
          <t>Punta Norte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Punta Nort.jpg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66" ht="21" customHeight="1">
      <c r="A266" s="17" t="inlineStr">
        <is>
          <t>38319</t>
        </is>
      </c>
      <c r="B266" s="8" t="inlineStr">
        <is>
          <t>Tecnologico Metepec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5EE4CB27-01DF-4A63-85EF-E0B5CA6209B9_Starbucks Tecnologic.jpeg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67" ht="21" customHeight="1">
      <c r="A267" s="15" t="inlineStr">
        <is>
          <t>38484</t>
        </is>
      </c>
      <c r="B267" s="12" t="inlineStr">
        <is>
          <t>Gandhi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LayOut_Distrital_Jaqueline_Cortes_Ayala_Gandh_Nora Fernanda Solori.jpg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68" ht="21" customHeight="1">
      <c r="A268" s="17" t="inlineStr">
        <is>
          <t>38719</t>
        </is>
      </c>
      <c r="B268" s="8" t="inlineStr">
        <is>
          <t>Plaza Fortuna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image_Hector Martinez Urib.jpg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69" ht="21" customHeight="1">
      <c r="A269" s="15" t="inlineStr">
        <is>
          <t>38606</t>
        </is>
      </c>
      <c r="B269" s="12" t="inlineStr">
        <is>
          <t>TlalnepantlaCarso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IMG_3103_Starbucks Tlalnepant.jpeg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70" ht="21" customHeight="1">
      <c r="A270" s="17" t="inlineStr">
        <is>
          <t>38694</t>
        </is>
      </c>
      <c r="B270" s="8" t="inlineStr">
        <is>
          <t>Villas de la Hacienda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IMG_3796_Starbucks Villas de.jpeg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image_Cristian Alexis Posa.jpg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72" ht="21" customHeight="1">
      <c r="A272" s="17" t="inlineStr">
        <is>
          <t>38365</t>
        </is>
      </c>
      <c r="B272" s="8" t="inlineStr">
        <is>
          <t>Coyoacan Centro</t>
        </is>
      </c>
      <c r="C272" s="8" t="inlineStr">
        <is>
          <t>Lay Out</t>
        </is>
      </c>
      <c r="D272" s="8" t="inlineStr">
        <is>
          <t>Evidencia</t>
        </is>
      </c>
      <c r="E272" s="8" t="inlineStr">
        <is>
          <t>LayOut_Distrital_Jaquelin_Cortes_Coyoacan_Cen_Starbucks Gabriel Ma.jpg</t>
        </is>
      </c>
      <c r="F27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73" ht="21" customHeight="1">
      <c r="A273" s="15" t="inlineStr">
        <is>
          <t>38176</t>
        </is>
      </c>
      <c r="B273" s="12" t="inlineStr">
        <is>
          <t>Periferico Satélite DT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IMG_20261001_131137_Starbucks DT Perifer.jpg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74" ht="21" customHeight="1">
      <c r="A274" s="17" t="inlineStr">
        <is>
          <t>38841</t>
        </is>
      </c>
      <c r="B274" s="8" t="inlineStr">
        <is>
          <t>Townsquare Metepec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IMG-20261001-WA0067_Starbucks Townsquare.jpg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75" ht="21" customHeight="1">
      <c r="A275" s="15" t="inlineStr">
        <is>
          <t>38197</t>
        </is>
      </c>
      <c r="B275" s="12" t="inlineStr">
        <is>
          <t>Echegaray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af0dcc8b-ae09-48f6-83c6-c1deebc6b2ce_Starbucks Echegaray.jpeg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76" ht="21" customHeight="1">
      <c r="A276" s="17" t="inlineStr">
        <is>
          <t>38427</t>
        </is>
      </c>
      <c r="B276" s="8" t="inlineStr">
        <is>
          <t>Plaza Satelite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689C94C3-48BC-43EE-BDDD-34DDA52228A1_Starbucks CC Plaza S.jpeg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77" ht="21" customHeight="1">
      <c r="A277" s="15" t="inlineStr">
        <is>
          <t>38770</t>
        </is>
      </c>
      <c r="B277" s="12" t="inlineStr">
        <is>
          <t>Gustavo Baz 29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1A74C19C-0A4A-47C6-9DDE-963070028D21_Starbucks Gustavo Ba.jpeg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78" ht="21" customHeight="1">
      <c r="A278" s="17" t="inlineStr">
        <is>
          <t>38859</t>
        </is>
      </c>
      <c r="B278" s="8" t="inlineStr">
        <is>
          <t>Plaza Satelite II N1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20261001_105200-COLLAGE_Starbucks Plaza Sate.jpg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79" ht="21" customHeight="1">
      <c r="A279" s="15" t="inlineStr">
        <is>
          <t>38845</t>
        </is>
      </c>
      <c r="B279" s="12" t="inlineStr">
        <is>
          <t>Mundo E II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image_Starbucks Mundo E II.jpg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80" ht="21" customHeight="1">
      <c r="A280" s="17" t="inlineStr">
        <is>
          <t>43261</t>
        </is>
      </c>
      <c r="B280" s="8" t="inlineStr">
        <is>
          <t>Encuentro Tlanepantla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c8c04201-ec51-4249-a485-01a3eb69ca54_Starbucks Encuentro.jpeg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81" ht="21" customHeight="1">
      <c r="A281" s="15" t="inlineStr">
        <is>
          <t>38811</t>
        </is>
      </c>
      <c r="B281" s="12" t="inlineStr">
        <is>
          <t>Plaza Tepeyac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1790870977096109206321431989926_Starbucks Plaza Tepe.jpg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82" ht="21" customHeight="1">
      <c r="A282" s="17" t="inlineStr">
        <is>
          <t>43152</t>
        </is>
      </c>
      <c r="B282" s="8" t="inlineStr">
        <is>
          <t>Samara Satélite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Samara Sat.jpg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83" ht="21" customHeight="1">
      <c r="A283" s="15" t="inlineStr">
        <is>
          <t>38460</t>
        </is>
      </c>
      <c r="B283" s="12" t="inlineStr">
        <is>
          <t>Santa Monica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image_Starbucks Santa Moni.jpg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84" ht="21" customHeight="1">
      <c r="A284" s="17" t="inlineStr">
        <is>
          <t>38515</t>
        </is>
      </c>
      <c r="B284" s="8" t="inlineStr">
        <is>
          <t>Patio Ecatepec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17908400277959146604087262344864_Starbucks Patio Ecat.jpg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85" ht="21" customHeight="1">
      <c r="A285" s="15" t="inlineStr">
        <is>
          <t>38668</t>
        </is>
      </c>
      <c r="B285" s="12" t="inlineStr">
        <is>
          <t>Pabellon Metepec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IMG_4041_Starbucks Pabellón M.jpeg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86" ht="21" customHeight="1">
      <c r="A286" s="17" t="inlineStr">
        <is>
          <t>38208</t>
        </is>
      </c>
      <c r="B286" s="8" t="inlineStr">
        <is>
          <t>Miguel Angel de Quevedo II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LayOut_Distrital_Jaqueline_Cortes_Maq_II_Fall_Jessica Velazquez Ra.jpg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87" ht="21" customHeight="1">
      <c r="A287" s="15" t="inlineStr">
        <is>
          <t>43025</t>
        </is>
      </c>
      <c r="B287" s="12" t="inlineStr">
        <is>
          <t>Punto MAQ</t>
        </is>
      </c>
      <c r="C287" s="12" t="inlineStr">
        <is>
          <t>Lay Out</t>
        </is>
      </c>
      <c r="D287" s="12" t="inlineStr">
        <is>
          <t>Evidencia</t>
        </is>
      </c>
      <c r="E287" s="12" t="inlineStr">
        <is>
          <t>LayOut_Distrital_Jaqueline_Cortez_Ayala_Punto_Starbucks Punto MAQ.jpg</t>
        </is>
      </c>
      <c r="F28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88" ht="21" customHeight="1">
      <c r="A288" s="17" t="inlineStr">
        <is>
          <t>38656</t>
        </is>
      </c>
      <c r="B288" s="8" t="inlineStr">
        <is>
          <t>Viveros de la Loma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17908161436191259382945378014481_Starbucks Viveros Sa.jpg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89" ht="21" customHeight="1">
      <c r="A289" s="15" t="inlineStr">
        <is>
          <t>38508</t>
        </is>
      </c>
      <c r="B289" s="12" t="inlineStr">
        <is>
          <t>Ampliacion Santa Fe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17908160038662783616942967210795_Starbucks Ampliación.jpg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90" ht="21" customHeight="1">
      <c r="A290" s="17" t="inlineStr">
        <is>
          <t>43159</t>
        </is>
      </c>
      <c r="B290" s="8" t="inlineStr">
        <is>
          <t>Hospital Angeles del Pedregal II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LayOut_Distrital_Cesar_Alfonso_Castillo_Hospi_Starbucks Hospital A.jpg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91" ht="21" customHeight="1">
      <c r="A291" s="15" t="inlineStr">
        <is>
          <t>38266</t>
        </is>
      </c>
      <c r="B291" s="12" t="inlineStr">
        <is>
          <t>San Mateo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6C0C2288-532F-4378-84BC-B3BC359FACFD_Starbucks San Mateo.jpeg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92" ht="21" customHeight="1">
      <c r="A292" s="17" t="inlineStr">
        <is>
          <t>38924</t>
        </is>
      </c>
      <c r="B292" s="8" t="inlineStr">
        <is>
          <t>Plaza Aeropuerto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image_Starbucks Plaza aero.jpg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93" ht="21" customHeight="1">
      <c r="A293" s="15" t="inlineStr">
        <is>
          <t>38142</t>
        </is>
      </c>
      <c r="B293" s="12" t="inlineStr">
        <is>
          <t>Zona Esmeralda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image_Hector Ruben Estevez.jpg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94" ht="21" customHeight="1">
      <c r="A294" s="17" t="inlineStr">
        <is>
          <t>43043</t>
        </is>
      </c>
      <c r="B294" s="8" t="inlineStr">
        <is>
          <t>Atizapan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Atizapan.jpg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95" ht="21" customHeight="1">
      <c r="A295" s="15" t="inlineStr">
        <is>
          <t>38995</t>
        </is>
      </c>
      <c r="B295" s="12" t="inlineStr">
        <is>
          <t>Encuentro Oceania II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17908126537393327843348082815971_Starbucks Encuentro.jpg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96" ht="21" customHeight="1">
      <c r="A296" s="17" t="inlineStr">
        <is>
          <t>38674</t>
        </is>
      </c>
      <c r="B296" s="8" t="inlineStr">
        <is>
          <t>Mundo E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20260930_175408_Starbucks Mundo E.jpg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97" ht="21" customHeight="1">
      <c r="A297" s="15" t="inlineStr">
        <is>
          <t>38113</t>
        </is>
      </c>
      <c r="B297" s="12" t="inlineStr">
        <is>
          <t>Juan Pablo II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WhatsApp Image 2026-09-30 at 17.27.05_Mariana Ibañez Escob.jpeg</t>
        </is>
      </c>
      <c r="F297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98" ht="21" customHeight="1">
      <c r="A298" s="17" t="inlineStr">
        <is>
          <t>38103</t>
        </is>
      </c>
      <c r="B298" s="8" t="inlineStr">
        <is>
          <t>Aguilas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Screenshot_20260930_172243_Gallery_Starbucks Aguilas.jpg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99" ht="21" customHeight="1">
      <c r="A299" s="15" t="inlineStr">
        <is>
          <t>38442</t>
        </is>
      </c>
      <c r="B299" s="12" t="inlineStr">
        <is>
          <t>Sor Juana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image_Starbucks Sor Juana.jpg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00" ht="21" customHeight="1">
      <c r="A300" s="17" t="inlineStr">
        <is>
          <t>38617</t>
        </is>
      </c>
      <c r="B300" s="8" t="inlineStr">
        <is>
          <t>Axomiatla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image_Starbucks Axomiatla.jpg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301" ht="21" customHeight="1">
      <c r="A301" s="15" t="inlineStr">
        <is>
          <t>38692</t>
        </is>
      </c>
      <c r="B301" s="12" t="inlineStr">
        <is>
          <t>Plaza Exhibimex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B12E1EC8-A640-4979-8F35-2D7E84913F07_Starbucks Plaza Exhi.jpeg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302" ht="21" customHeight="1">
      <c r="A302" s="17" t="inlineStr">
        <is>
          <t>38339</t>
        </is>
      </c>
      <c r="B302" s="8" t="inlineStr">
        <is>
          <t>San Marcos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17908090873087509938739309955749_Starbucks San Marcos.jpg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303" ht="21" customHeight="1">
      <c r="A303" s="15" t="inlineStr">
        <is>
          <t>43142</t>
        </is>
      </c>
      <c r="B303" s="12" t="inlineStr">
        <is>
          <t>Montes Urales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A4DC0519-DBCB-42D9-B970-C5E2A61A2C72_Starbucks Montes Ura.jpeg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304" ht="21" customHeight="1">
      <c r="A304" s="17" t="inlineStr">
        <is>
          <t>38112</t>
        </is>
      </c>
      <c r="B304" s="8" t="inlineStr">
        <is>
          <t>Insurgentes Parroquia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Fotos_Andrea Adame Rodrigu.jpg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305" ht="21" customHeight="1">
      <c r="A305" s="15" t="inlineStr">
        <is>
          <t>38119</t>
        </is>
      </c>
      <c r="B305" s="12" t="inlineStr">
        <is>
          <t>Lomas Verdes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Screenshot_2026-09-30-16-30-15-008_com.miui.g_Starbucks Lomas Verd.jpg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306" ht="21" customHeight="1">
      <c r="A306" s="17" t="inlineStr">
        <is>
          <t>38507</t>
        </is>
      </c>
      <c r="B306" s="8" t="inlineStr">
        <is>
          <t>Espacio Vista del Valle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image_Eduardo David Reyes.jpg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307" ht="21" customHeight="1">
      <c r="A307" s="15" t="inlineStr">
        <is>
          <t>38106</t>
        </is>
      </c>
      <c r="B307" s="12" t="inlineStr">
        <is>
          <t>Prado Norte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40F0F9EE-5AEA-4A21-9227-B71942B94787_Starbucks Prado Nort.jpeg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308" ht="21" customHeight="1">
      <c r="A308" s="17" t="inlineStr">
        <is>
          <t>38722</t>
        </is>
      </c>
      <c r="B308" s="8" t="inlineStr">
        <is>
          <t>Patio Barranca N2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17908069049623840978877969518997_Starbucks Portal San.jpg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309" ht="21" customHeight="1">
      <c r="A309" s="15" t="inlineStr">
        <is>
          <t>38442</t>
        </is>
      </c>
      <c r="B309" s="12" t="inlineStr">
        <is>
          <t>Sor Juana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057376b4-0418-4954-be47-7d4c20bb081e_Starbucks Sor Juana.jpeg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310" ht="21" customHeight="1">
      <c r="A310" s="17" t="inlineStr">
        <is>
          <t>38188</t>
        </is>
      </c>
      <c r="B310" s="8" t="inlineStr">
        <is>
          <t>Palmas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1790806208329874896514700330177_Starbucks Palmas.jpg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311" ht="21" customHeight="1">
      <c r="A311" s="15" t="inlineStr">
        <is>
          <t>38390</t>
        </is>
      </c>
      <c r="B311" s="12" t="inlineStr">
        <is>
          <t>Samara I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17908053477978919866054523403953_Starbucks Samara.jpg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12" ht="21" customHeight="1">
      <c r="A312" s="17" t="inlineStr">
        <is>
          <t>38401</t>
        </is>
      </c>
      <c r="B312" s="8" t="inlineStr">
        <is>
          <t>Coacalco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17908049808435734554052001986476_Starbucks CC Coalcal.jpg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13" ht="21" customHeight="1">
      <c r="A313" s="15" t="inlineStr">
        <is>
          <t>38677</t>
        </is>
      </c>
      <c r="B313" s="12" t="inlineStr">
        <is>
          <t>Patio la Raza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Patio la R.jpg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14" ht="21" customHeight="1">
      <c r="A314" s="17" t="inlineStr">
        <is>
          <t>38992</t>
        </is>
      </c>
      <c r="B314" s="8" t="inlineStr">
        <is>
          <t>Tapo Puerta Oriente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17908027939135310906582653204634_Starbucks Tapo puert.jpg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15" ht="21" customHeight="1">
      <c r="A315" s="15" t="inlineStr">
        <is>
          <t>38371</t>
        </is>
      </c>
      <c r="B315" s="12" t="inlineStr">
        <is>
          <t>Montevideo DT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image_Starbucks Montevideo.jpg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16" ht="21" customHeight="1">
      <c r="A316" s="17" t="inlineStr">
        <is>
          <t>38186</t>
        </is>
      </c>
      <c r="B316" s="8" t="inlineStr">
        <is>
          <t>Arboledas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843190d4-801a-4aa5-994e-06e57b9d51d2_Starbucks Arboledas.jpeg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17" ht="21" customHeight="1">
      <c r="A317" s="15" t="inlineStr">
        <is>
          <t>43058</t>
        </is>
      </c>
      <c r="B317" s="12" t="inlineStr">
        <is>
          <t>Casa de Gobierno DT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Colón Casa.jpg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18" ht="21" customHeight="1">
      <c r="A318" s="17" t="inlineStr">
        <is>
          <t>38546</t>
        </is>
      </c>
      <c r="B318" s="8" t="inlineStr">
        <is>
          <t>Patio Claveria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17908004959763429856502606647485_Starbucks Patio Clav.jpg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19" ht="21" customHeight="1">
      <c r="A319" s="15" t="inlineStr">
        <is>
          <t>38746</t>
        </is>
      </c>
      <c r="B319" s="12" t="inlineStr">
        <is>
          <t>Arcos Bosques II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image_Alberto Medina Magda.jpg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20" ht="21" customHeight="1">
      <c r="A320" s="17" t="inlineStr">
        <is>
          <t>38529</t>
        </is>
      </c>
      <c r="B320" s="8" t="inlineStr">
        <is>
          <t>Bosques de Aragon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1790799093804238367995515185362_Starbucks Bosques de.jpg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21" ht="21" customHeight="1">
      <c r="A321" s="15" t="inlineStr">
        <is>
          <t>38930</t>
        </is>
      </c>
      <c r="B321" s="12" t="inlineStr">
        <is>
          <t>Blvd. Aeropuerto dt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17907982703115179691589693631594_Starbucks Boulevard.jpg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22" ht="21" customHeight="1">
      <c r="A322" s="17" t="inlineStr">
        <is>
          <t>38374</t>
        </is>
      </c>
      <c r="B322" s="8" t="inlineStr">
        <is>
          <t>Valle Dorado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Valle Dora.jpg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323" ht="21" customHeight="1">
      <c r="A323" s="15" t="inlineStr">
        <is>
          <t>38394</t>
        </is>
      </c>
      <c r="B323" s="12" t="inlineStr">
        <is>
          <t>Centro Comercial Lomas Verdes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IMG-20260930-WA0051_Starbucks CC Lomas V.jpg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324" ht="21" customHeight="1">
      <c r="A324" s="17" t="inlineStr">
        <is>
          <t>38527</t>
        </is>
      </c>
      <c r="B324" s="8" t="inlineStr">
        <is>
          <t>Camarones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1cc13ad5-1ed4-45a1-93c4-b5f89b0c0921_Starbucks Camarones.jpeg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25" ht="21" customHeight="1">
      <c r="A325" s="15" t="inlineStr">
        <is>
          <t>38837</t>
        </is>
      </c>
      <c r="B325" s="12" t="inlineStr">
        <is>
          <t>Centenario Azcapotzalco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IMG_4602_Starbucks Centenario.jpeg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26" ht="21" customHeight="1">
      <c r="A326" s="17" t="inlineStr">
        <is>
          <t>38515</t>
        </is>
      </c>
      <c r="B326" s="8" t="inlineStr">
        <is>
          <t>Patio Ecatepec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20260929_104455_Starbucks Patio Ecat.jpg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327" ht="21" customHeight="1">
      <c r="A327" s="15" t="inlineStr">
        <is>
          <t>38431</t>
        </is>
      </c>
      <c r="B327" s="12" t="inlineStr">
        <is>
          <t>Eduardo Molina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17907951131934812728219142508706_Starbucks Eduardo Mo.jpg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28" ht="21" customHeight="1">
      <c r="A328" s="17" t="inlineStr">
        <is>
          <t>43111</t>
        </is>
      </c>
      <c r="B328" s="8" t="inlineStr">
        <is>
          <t>Montevideo Insurgentes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WhatsApp Image 2026-09-30 at 12.51.05 PM_David Zaragoza Diaz.jpeg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29" ht="21" customHeight="1">
      <c r="A329" s="15" t="inlineStr">
        <is>
          <t>43194</t>
        </is>
      </c>
      <c r="B329" s="12" t="inlineStr">
        <is>
          <t>Atana Lindavista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1c2cda71-6b6a-4546-a21c-ecdc5317a42f_Starbucks Atana Lind.jpeg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330" ht="21" customHeight="1">
      <c r="A330" s="17" t="inlineStr">
        <is>
          <t>38368</t>
        </is>
      </c>
      <c r="B330" s="8" t="inlineStr">
        <is>
          <t>Luna Park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Luna Park.jpg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331" ht="21" customHeight="1">
      <c r="A331" s="15" t="inlineStr">
        <is>
          <t>43195</t>
        </is>
      </c>
      <c r="B331" s="12" t="inlineStr">
        <is>
          <t>Parque Jadin kiosko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IMG_7695_Starbucks Parque Jar.jpeg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32" ht="21" customHeight="1">
      <c r="A332" s="17" t="inlineStr">
        <is>
          <t>38411</t>
        </is>
      </c>
      <c r="B332" s="8" t="inlineStr">
        <is>
          <t>Torres Lindavista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IMG_0195_Daniel Bustos Martin.jpeg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33" ht="21" customHeight="1">
      <c r="A333" s="15" t="inlineStr">
        <is>
          <t>38530</t>
        </is>
      </c>
      <c r="B333" s="12" t="inlineStr">
        <is>
          <t>Narvarte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64ef1fd9-7b78-443b-8ec9-1f440e2268f1_Diana Patricia Arias.jpeg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334" ht="21" customHeight="1">
      <c r="A334" s="17" t="inlineStr">
        <is>
          <t>38651</t>
        </is>
      </c>
      <c r="B334" s="8" t="inlineStr">
        <is>
          <t>Via Vallejo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FH_Berenice Ivon Sanche.jpeg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35" ht="21" customHeight="1">
      <c r="A335" s="15" t="inlineStr">
        <is>
          <t>38205</t>
        </is>
      </c>
      <c r="B335" s="12" t="inlineStr">
        <is>
          <t>Lindavista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IMG_5435_Julian Alejandro Flo.png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36" ht="21" customHeight="1">
      <c r="A336" s="17" t="inlineStr">
        <is>
          <t>38937</t>
        </is>
      </c>
      <c r="B336" s="8" t="inlineStr">
        <is>
          <t>Parque Tepeyac Piso 1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17907906859834725410347246079207_Starbucks Parque Tep.jpg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37" ht="21" customHeight="1">
      <c r="A337" s="15" t="inlineStr">
        <is>
          <t>38715</t>
        </is>
      </c>
      <c r="B337" s="12" t="inlineStr">
        <is>
          <t>Av. Coyoacan DT only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20260930_115108_Mitzi Cirilo Espinos.jpg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338" ht="21" customHeight="1">
      <c r="A338" s="17" t="inlineStr">
        <is>
          <t>43132</t>
        </is>
      </c>
      <c r="B338" s="8" t="inlineStr">
        <is>
          <t>Plaza Vista Norte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IMG-20260930-WA0021_Starbucks Plaza Vist.jpg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39" ht="21" customHeight="1">
      <c r="A339" s="15" t="inlineStr">
        <is>
          <t>38590</t>
        </is>
      </c>
      <c r="B339" s="12" t="inlineStr">
        <is>
          <t>Parque Toreo II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d2e7c38a-6cf9-446d-b8bd-09cfa2d66de1_Jaime Arath Correa S.jpeg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340" ht="21" customHeight="1">
      <c r="A340" s="17" t="inlineStr">
        <is>
          <t>38230</t>
        </is>
      </c>
      <c r="B340" s="8" t="inlineStr">
        <is>
          <t>ITEMS Edo de Mexico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Collage_2026-09-30_11_32_21_Starbucks ITESM Esta.jpg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341" ht="21" customHeight="1">
      <c r="A341" s="15" t="inlineStr">
        <is>
          <t>38138</t>
        </is>
      </c>
      <c r="B341" s="12" t="inlineStr">
        <is>
          <t>Galerias metepec 1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image_Starbucks Galerias M.jpg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342" ht="21" customHeight="1">
      <c r="A342" s="17" t="inlineStr">
        <is>
          <t>38646</t>
        </is>
      </c>
      <c r="B342" s="8" t="inlineStr">
        <is>
          <t>Carracci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IMG-20260929-WA0042(1)_Luis Javer Romo de V.jpg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343" ht="21" customHeight="1">
      <c r="A343" s="15" t="inlineStr">
        <is>
          <t>38207</t>
        </is>
      </c>
      <c r="B343" s="12" t="inlineStr">
        <is>
          <t>Lindavista II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IMG-20260930-WA0007_Starbucks Parque Lin.jpg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44" ht="21" customHeight="1">
      <c r="A344" s="17" t="inlineStr">
        <is>
          <t>38529</t>
        </is>
      </c>
      <c r="B344" s="8" t="inlineStr">
        <is>
          <t>Bosques de Aragon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1790787478004484172672547002170_Fany Jeovana Echever.jpg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45" ht="21" customHeight="1">
      <c r="A345" s="15" t="inlineStr">
        <is>
          <t>38475</t>
        </is>
      </c>
      <c r="B345" s="12" t="inlineStr">
        <is>
          <t>Satelite Centro Civico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17907867830397085847889937217325_Starbucks Satélite C.jpg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46" ht="21" customHeight="1">
      <c r="A346" s="17" t="inlineStr">
        <is>
          <t>43025</t>
        </is>
      </c>
      <c r="B346" s="8" t="inlineStr">
        <is>
          <t>Punto MAQ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1790786329547677632025067937441_Starbucks Punto MAQ.jpg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347" ht="21" customHeight="1">
      <c r="A347" s="15" t="inlineStr">
        <is>
          <t>38965</t>
        </is>
      </c>
      <c r="B347" s="12" t="inlineStr">
        <is>
          <t>Parque Tepeyac Piso 2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74cb3a7c-5043-4a57-8bc1-1c5e009dc520_Starbucks Parque Tep.jpeg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48" ht="21" customHeight="1">
      <c r="A348" s="17" t="inlineStr">
        <is>
          <t>38925</t>
        </is>
      </c>
      <c r="B348" s="8" t="inlineStr">
        <is>
          <t>Star Medica Lomas Verdes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IMG_1020_Starbucks Star Medic.jpeg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49" ht="21" customHeight="1">
      <c r="A349" s="15" t="inlineStr">
        <is>
          <t>43011</t>
        </is>
      </c>
      <c r="B349" s="12" t="inlineStr">
        <is>
          <t>Carr Toluca-Atlacomulco DT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image_Starbucks Carretera.jpg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50" ht="21" customHeight="1">
      <c r="A350" s="17" t="inlineStr">
        <is>
          <t>38458</t>
        </is>
      </c>
      <c r="B350" s="8" t="inlineStr">
        <is>
          <t>El Rosario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4489af61-1454-4851-9d47-bd0c5d100e20_Starbucks El Rosario.jpeg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51" ht="21" customHeight="1">
      <c r="A351" s="15" t="inlineStr">
        <is>
          <t>38987</t>
        </is>
      </c>
      <c r="B351" s="12" t="inlineStr">
        <is>
          <t>Punta Zero Calimaya DT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17907390405703868235283179508482_Starbucks Punta Zero.jpg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52" ht="21" customHeight="1">
      <c r="A352" s="17" t="inlineStr">
        <is>
          <t>38141</t>
        </is>
      </c>
      <c r="B352" s="8" t="inlineStr">
        <is>
          <t>Plaza Mayor Metepec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Untitled design_Starbucks Plaza Mayo.jpeg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53" ht="21" customHeight="1">
      <c r="A353" s="15" t="inlineStr">
        <is>
          <t>38695</t>
        </is>
      </c>
      <c r="B353" s="12" t="inlineStr">
        <is>
          <t>Cetram 4 Caminos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1790735295720343256016786990216_Starbucks CEMTRAM 4.jpg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54" ht="21" customHeight="1">
      <c r="A354" s="17" t="inlineStr">
        <is>
          <t>38107</t>
        </is>
      </c>
      <c r="B354" s="8" t="inlineStr">
        <is>
          <t>Pedregal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17907344557825680145032783489019_Ana Laura Gonzalez M.jpg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55" ht="21" customHeight="1">
      <c r="A355" s="15" t="inlineStr">
        <is>
          <t>43159</t>
        </is>
      </c>
      <c r="B355" s="12" t="inlineStr">
        <is>
          <t>Hospital Angeles del Pedregal II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IMG-20260929-WA0019_Starbucks Hospital A.jpg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56" ht="21" customHeight="1">
      <c r="A356" s="17" t="inlineStr">
        <is>
          <t>38107</t>
        </is>
      </c>
      <c r="B356" s="8" t="inlineStr">
        <is>
          <t>Pedregal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17907342523004065381054588473487_Ana Laura Gonzalez M.jpg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57" ht="21" customHeight="1">
      <c r="A357" s="15" t="inlineStr">
        <is>
          <t>38896</t>
        </is>
      </c>
      <c r="B357" s="12" t="inlineStr">
        <is>
          <t>Paseo Tollocan DT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image_Starbucks Paseo Toll.jpg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58" ht="21" customHeight="1">
      <c r="A358" s="17" t="inlineStr">
        <is>
          <t>38117</t>
        </is>
      </c>
      <c r="B358" s="8" t="inlineStr">
        <is>
          <t>Satelite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c084ff23-4f90-4a70-a044-635cf720bfee_Starbucks Satelite.jpeg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59" ht="21" customHeight="1">
      <c r="A359" s="15" t="inlineStr">
        <is>
          <t>38604</t>
        </is>
      </c>
      <c r="B359" s="12" t="inlineStr">
        <is>
          <t>Cosmopol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IMG-20260929-WA0032_Starbucks Cosmopol.jpg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60" ht="21" customHeight="1">
      <c r="A360" s="17" t="inlineStr">
        <is>
          <t>38730</t>
        </is>
      </c>
      <c r="B360" s="8" t="inlineStr">
        <is>
          <t>Manacar PB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IMG_0896_Starbucks Manacar PB.jpeg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61" ht="21" customHeight="1">
      <c r="A361" s="15" t="inlineStr">
        <is>
          <t>38544</t>
        </is>
      </c>
      <c r="B361" s="12" t="inlineStr">
        <is>
          <t>Picacho Ajusco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image_Alicia Rebeca Hernan.jpg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62" ht="21" customHeight="1">
      <c r="A362" s="17" t="inlineStr">
        <is>
          <t>38553</t>
        </is>
      </c>
      <c r="B362" s="8" t="inlineStr">
        <is>
          <t>Paseo Interlomas II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1790728055298170278042801037100_Starbucks Paseo Inte.jpg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63" ht="21" customHeight="1">
      <c r="A363" s="15" t="inlineStr">
        <is>
          <t>38538</t>
        </is>
      </c>
      <c r="B363" s="12" t="inlineStr">
        <is>
          <t>Monte Pelvoux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image_6190ae91-d21a-4535-99a2-9ab8ebc7c442_Starbucks Monte Pelv.jpg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64" ht="21" customHeight="1">
      <c r="A364" s="17" t="inlineStr">
        <is>
          <t>38544</t>
        </is>
      </c>
      <c r="B364" s="8" t="inlineStr">
        <is>
          <t>Picacho Ajusco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image_Alicia Rebeca Hernan.jpg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65" ht="21" customHeight="1">
      <c r="A365" s="15" t="inlineStr">
        <is>
          <t>38607</t>
        </is>
      </c>
      <c r="B365" s="12" t="inlineStr">
        <is>
          <t>Carretera Mexico Toluca KM42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image_Starbucks México-Tol.jpg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66" ht="21" customHeight="1">
      <c r="A366" s="17" t="inlineStr">
        <is>
          <t>43105</t>
        </is>
      </c>
      <c r="B366" s="8" t="inlineStr">
        <is>
          <t>Insurgentes Capital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image_Ana Katherina Velazq.jpg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67" ht="21" customHeight="1">
      <c r="A367" s="15" t="inlineStr">
        <is>
          <t>38777</t>
        </is>
      </c>
      <c r="B367" s="12" t="inlineStr">
        <is>
          <t>Parque la Mexicana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780E5400-9205-4760-942A-EAAE3885C632_Starbucks Parque la 1.jpeg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68" ht="21" customHeight="1">
      <c r="A368" s="17" t="inlineStr">
        <is>
          <t>38815</t>
        </is>
      </c>
      <c r="B368" s="8" t="inlineStr">
        <is>
          <t>Central Interlomas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IMG_20260929_171947_Starbucks Central In.jpg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69" ht="21" customHeight="1">
      <c r="A369" s="15" t="inlineStr">
        <is>
          <t>38709</t>
        </is>
      </c>
      <c r="B369" s="12" t="inlineStr">
        <is>
          <t>Corporativo Barranca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17907248778713229719805309958274_Starbucks Corporativ.jpg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70" ht="21" customHeight="1">
      <c r="A370" s="17" t="inlineStr">
        <is>
          <t>38441</t>
        </is>
      </c>
      <c r="B370" s="8" t="inlineStr">
        <is>
          <t>Metepec Plaza del Parque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IMG_7430_Starbucks Metepec Pl.jpeg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71" ht="21" customHeight="1">
      <c r="A371" s="15" t="inlineStr">
        <is>
          <t>38227</t>
        </is>
      </c>
      <c r="B371" s="12" t="inlineStr">
        <is>
          <t>Lomas Plaza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Lomas Plaz.jpg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72" ht="21" customHeight="1">
      <c r="A372" s="17" t="inlineStr">
        <is>
          <t>38292</t>
        </is>
      </c>
      <c r="B372" s="8" t="inlineStr">
        <is>
          <t>Jesús del Monte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17907234619637818869481654838206_Starbucks Jesus Del.jpg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73" ht="21" customHeight="1">
      <c r="A373" s="15" t="inlineStr">
        <is>
          <t>38439</t>
        </is>
      </c>
      <c r="B373" s="12" t="inlineStr">
        <is>
          <t>Ángeles Interlomas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17907228225513403723016234836267_Starbucks Angeles In.jpg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74" ht="21" customHeight="1">
      <c r="A374" s="17" t="inlineStr">
        <is>
          <t>38547</t>
        </is>
      </c>
      <c r="B374" s="8" t="inlineStr">
        <is>
          <t>Carr Toluca Mexico KM48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image_Starbucks Carr Toluc.jpg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75" ht="21" customHeight="1">
      <c r="A375" s="15" t="inlineStr">
        <is>
          <t>38179</t>
        </is>
      </c>
      <c r="B375" s="12" t="inlineStr">
        <is>
          <t>Universidad Anáhuac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IMG_0798_Starbucks Universida.jpeg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76" ht="21" customHeight="1">
      <c r="A376" s="17" t="inlineStr">
        <is>
          <t>38749</t>
        </is>
      </c>
      <c r="B376" s="8" t="inlineStr">
        <is>
          <t>Patio Santa Fe 2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1790721852111120986198742525289_Starbucks PATIO SANT.jpg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77" ht="21" customHeight="1">
      <c r="A377" s="15" t="inlineStr">
        <is>
          <t>38148</t>
        </is>
      </c>
      <c r="B377" s="12" t="inlineStr">
        <is>
          <t>Centro Comercial Santa Fe 1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IMG-20260929-WA0003_Starbucks Centro Com.jpg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78" ht="21" customHeight="1">
      <c r="A378" s="17" t="inlineStr">
        <is>
          <t>38466</t>
        </is>
      </c>
      <c r="B378" s="8" t="inlineStr">
        <is>
          <t>Paseo Interlomas I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17907211440242875946936337282468_Starbucks Paseo Inte.jpg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79" ht="21" customHeight="1">
      <c r="A379" s="15" t="inlineStr">
        <is>
          <t>38918</t>
        </is>
      </c>
      <c r="B379" s="12" t="inlineStr">
        <is>
          <t>Bosque Real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1790721122986564346479238644983_Starbucks Bosque Rea.jpg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80" ht="21" customHeight="1">
      <c r="A380" s="17" t="inlineStr">
        <is>
          <t>38951</t>
        </is>
      </c>
      <c r="B380" s="8" t="inlineStr">
        <is>
          <t>Universidad Panamericana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image_Pedro Berrocal Alvar.jpg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81" ht="21" customHeight="1">
      <c r="A381" s="15" t="inlineStr">
        <is>
          <t>38438</t>
        </is>
      </c>
      <c r="B381" s="12" t="inlineStr">
        <is>
          <t>City Walk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52AC9913-F941-4D06-A04E-8AA1E35BB4B1_Raúl Eduardo Álvarez.jpeg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82" ht="21" customHeight="1">
      <c r="A382" s="17" t="inlineStr">
        <is>
          <t>43107</t>
        </is>
      </c>
      <c r="B382" s="8" t="inlineStr">
        <is>
          <t>Pabellón Bosques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1a51fc95-a084-473d-bfcd-1c5144fd2ce8_Alison Ariadna De La.jpeg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83" ht="21" customHeight="1">
      <c r="A383" s="15" t="inlineStr">
        <is>
          <t>38799</t>
        </is>
      </c>
      <c r="B383" s="12" t="inlineStr">
        <is>
          <t>Paseo Interlomas III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IMG_20260929_160643303_HDR_Starbucks Paseo Inte.jpg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84" ht="21" customHeight="1">
      <c r="A384" s="17" t="inlineStr">
        <is>
          <t>38903</t>
        </is>
      </c>
      <c r="B384" s="8" t="inlineStr">
        <is>
          <t>Encuentro Oceania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1790719457688_Starbucks ENCUENTRO.jpg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85" ht="21" customHeight="1">
      <c r="A385" s="15" t="inlineStr">
        <is>
          <t>38751</t>
        </is>
      </c>
      <c r="B385" s="12" t="inlineStr">
        <is>
          <t>Torre Zentrrum II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IMG-20260929-WA0127_Starbucks TORRE ZENT.jpg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86" ht="21" customHeight="1">
      <c r="A386" s="17" t="inlineStr">
        <is>
          <t>38957</t>
        </is>
      </c>
      <c r="B386" s="8" t="inlineStr">
        <is>
          <t>Avándaro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17907192520946792617829872665850_Maricruz Castillo Ma.jpg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87" ht="21" customHeight="1">
      <c r="A387" s="15" t="inlineStr">
        <is>
          <t>38452</t>
        </is>
      </c>
      <c r="B387" s="12" t="inlineStr">
        <is>
          <t>Parque Interlomas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d7b84155-d1aa-4692-9be3-104e1620b3e4_Moises Garcia Santos.jpeg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88" ht="21" customHeight="1">
      <c r="A388" s="17" t="inlineStr">
        <is>
          <t>38704</t>
        </is>
      </c>
      <c r="B388" s="8" t="inlineStr">
        <is>
          <t>Corportivo Banamex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1790718817934375674857658322002_Starbucks Corporativ.jpg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89" ht="21" customHeight="1">
      <c r="A389" s="15" t="inlineStr">
        <is>
          <t>38513</t>
        </is>
      </c>
      <c r="B389" s="12" t="inlineStr">
        <is>
          <t>San Lorenzo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IMG-20260921-WA0097_Starbucks San Lorenz.jpg</t>
        </is>
      </c>
      <c r="F38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90" ht="21" customHeight="1">
      <c r="A390" s="17" t="inlineStr">
        <is>
          <t>43068</t>
        </is>
      </c>
      <c r="B390" s="8" t="inlineStr">
        <is>
          <t>Galerias Metepec II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17907186246294670372165110566725_Francisco Manuel Gon.jpg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91" ht="21" customHeight="1">
      <c r="A391" s="15" t="inlineStr">
        <is>
          <t>38535</t>
        </is>
      </c>
      <c r="B391" s="12" t="inlineStr">
        <is>
          <t>City Center Esmeralda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17907181644854051712993457839825_Starbucks City Cente.jpg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92" ht="21" customHeight="1">
      <c r="A392" s="17" t="inlineStr">
        <is>
          <t>38585</t>
        </is>
      </c>
      <c r="B392" s="8" t="inlineStr">
        <is>
          <t>Oasis II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20260929_154117_Starbucks Oasis ll.jpg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93" ht="21" customHeight="1">
      <c r="A393" s="15" t="inlineStr">
        <is>
          <t>38225</t>
        </is>
      </c>
      <c r="B393" s="12" t="inlineStr">
        <is>
          <t>Centro Comercial Santa Fe 2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image_Starbucks Ford Santa.jpg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94" ht="21" customHeight="1">
      <c r="A394" s="17" t="inlineStr">
        <is>
          <t>38189</t>
        </is>
      </c>
      <c r="B394" s="8" t="inlineStr">
        <is>
          <t>Santa Fe Imax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image_Starbucks Santa Fe I.jpg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95" ht="21" customHeight="1">
      <c r="A395" s="15" t="inlineStr">
        <is>
          <t>38532</t>
        </is>
      </c>
      <c r="B395" s="12" t="inlineStr">
        <is>
          <t>One o One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image_Jesús Alberto Alquic.jpg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96" ht="21" customHeight="1">
      <c r="A396" s="17" t="inlineStr">
        <is>
          <t>38233</t>
        </is>
      </c>
      <c r="B396" s="8" t="inlineStr">
        <is>
          <t>Toluca Colon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image_Jorge Humberto Rojas.jpg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97" ht="21" customHeight="1">
      <c r="A397" s="15" t="inlineStr">
        <is>
          <t>38270</t>
        </is>
      </c>
      <c r="B397" s="12" t="inlineStr">
        <is>
          <t>Lomas Verdes II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9C59B1BC-DE91-4549-AD06-917DCE7E1FD4_Starbucks Plaza Loma.jpeg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98" ht="21" customHeight="1">
      <c r="A398" s="17" t="inlineStr">
        <is>
          <t>38150</t>
        </is>
      </c>
      <c r="B398" s="8" t="inlineStr">
        <is>
          <t>Santa Fe 2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IMG_8417_Brenda Alejandra Her.jpeg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99" ht="21" customHeight="1">
      <c r="A399" s="15" t="inlineStr">
        <is>
          <t>38414</t>
        </is>
      </c>
      <c r="B399" s="12" t="inlineStr">
        <is>
          <t>Park Plaza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image_Francisco De Jesus C.jpg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400" ht="21" customHeight="1">
      <c r="A400" s="17" t="inlineStr">
        <is>
          <t>38764</t>
        </is>
      </c>
      <c r="B400" s="8" t="inlineStr">
        <is>
          <t>Star Medica Napoles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image_Starbucks Medica Nap.jpg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401" ht="21" customHeight="1">
      <c r="A401" s="15" t="inlineStr">
        <is>
          <t>43162</t>
        </is>
      </c>
      <c r="B401" s="12" t="inlineStr">
        <is>
          <t>Apto Toluca SUE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image_Starbucks Apto Toluc 1.jpg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402" ht="21" customHeight="1">
      <c r="A402" s="17" t="inlineStr">
        <is>
          <t>43130</t>
        </is>
      </c>
      <c r="B402" s="8" t="inlineStr">
        <is>
          <t>Town Center Nicolás Romero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IMG-20260929-WA0012_Starbucks Town Cente.jpg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03" ht="21" customHeight="1">
      <c r="A403" s="15" t="inlineStr">
        <is>
          <t>38461</t>
        </is>
      </c>
      <c r="B403" s="12" t="inlineStr">
        <is>
          <t>Fuente de Tritones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IMG-20260929-WA0097_Nancy Arroyo Vázquez.jpg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404" ht="21" customHeight="1">
      <c r="A404" s="17" t="inlineStr">
        <is>
          <t>38464</t>
        </is>
      </c>
      <c r="B404" s="8" t="inlineStr">
        <is>
          <t>Corporativo Coyoacan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IMG20260929135829_Helman Sosa Bernal.jpg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405" ht="21" customHeight="1">
      <c r="A405" s="15" t="inlineStr">
        <is>
          <t>38366</t>
        </is>
      </c>
      <c r="B405" s="12" t="inlineStr">
        <is>
          <t>Hospital ABC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17907116137997952579995546525049_Starbucks Hospital A.jpg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406" ht="21" customHeight="1">
      <c r="A406" s="17" t="inlineStr">
        <is>
          <t>38570</t>
        </is>
      </c>
      <c r="B406" s="8" t="inlineStr">
        <is>
          <t>Universidad 767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9CB03645-012C-4306-BF10-C56CECF2BF8D_Anahi Navarro Jimene.jpeg</t>
        </is>
      </c>
      <c r="F40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407" ht="21" customHeight="1">
      <c r="A407" s="15" t="inlineStr">
        <is>
          <t>38185</t>
        </is>
      </c>
      <c r="B407" s="12" t="inlineStr">
        <is>
          <t>Magnocentro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FHW_Starbucks Magnocentr.jpg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08" ht="21" customHeight="1">
      <c r="A408" s="17" t="inlineStr">
        <is>
          <t>38149</t>
        </is>
      </c>
      <c r="B408" s="8" t="inlineStr">
        <is>
          <t>Bellavista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image_Starbucks Bellavista.jpg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09" ht="21" customHeight="1">
      <c r="A409" s="15" t="inlineStr">
        <is>
          <t>38158</t>
        </is>
      </c>
      <c r="B409" s="12" t="inlineStr">
        <is>
          <t>Plaza Lilas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ff560d47-af23-4140-ad1f-ef3cb5637584_Starbucks Plaza Lila.jpeg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410" ht="21" customHeight="1">
      <c r="A410" s="17" t="inlineStr">
        <is>
          <t>38115</t>
        </is>
      </c>
      <c r="B410" s="8" t="inlineStr">
        <is>
          <t>Zona Azul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1790710760948508435252632665252_Starbucks Zona Azul.jpg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11" ht="21" customHeight="1">
      <c r="A411" s="15" t="inlineStr">
        <is>
          <t>38445</t>
        </is>
      </c>
      <c r="B411" s="12" t="inlineStr">
        <is>
          <t>Samara II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image_Starbucks CC Samara.jpg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412" ht="21" customHeight="1">
      <c r="A412" s="17" t="inlineStr">
        <is>
          <t>38769</t>
        </is>
      </c>
      <c r="B412" s="8" t="inlineStr">
        <is>
          <t>Patio Toluca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Patio Tolu.jpg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13" ht="21" customHeight="1">
      <c r="A413" s="15" t="inlineStr">
        <is>
          <t>38372</t>
        </is>
      </c>
      <c r="B413" s="12" t="inlineStr">
        <is>
          <t>Felix Cuevas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17907099527685454014552812970873_Starbucks Felix Cuev.jpg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414" ht="21" customHeight="1">
      <c r="A414" s="17" t="inlineStr">
        <is>
          <t>43059</t>
        </is>
      </c>
      <c r="B414" s="8" t="inlineStr">
        <is>
          <t>La Providencia DT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17907092151906396948740576692199_Starbucks La Provide.jpg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15" ht="21" customHeight="1">
      <c r="A415" s="15" t="inlineStr">
        <is>
          <t>38829</t>
        </is>
      </c>
      <c r="B415" s="12" t="inlineStr">
        <is>
          <t>Outlet Lerma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f1312e2e-3673-40a9-8682-426aa2ded4a1_Starbucks Outlet Ler.jpeg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16" ht="21" customHeight="1">
      <c r="A416" s="17" t="inlineStr">
        <is>
          <t>38810</t>
        </is>
      </c>
      <c r="B416" s="8" t="inlineStr">
        <is>
          <t>Plaza Centenario ( Tenaria)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IMG_20260929_124810_Starbucks Plaza Cent.jpg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417" ht="21" customHeight="1">
      <c r="A417" s="15" t="inlineStr">
        <is>
          <t>38260</t>
        </is>
      </c>
      <c r="B417" s="12" t="inlineStr">
        <is>
          <t>Tlacoquemecatl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17907077308008113985553495445078_Starbucks Tlacoqueme.jpg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418" ht="21" customHeight="1">
      <c r="A418" s="17" t="inlineStr">
        <is>
          <t>38644</t>
        </is>
      </c>
      <c r="B418" s="8" t="inlineStr">
        <is>
          <t>Torre Virreyes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IMG_6658_Starbucks Torre Virr.jpeg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19" ht="21" customHeight="1">
      <c r="A419" s="15" t="inlineStr">
        <is>
          <t>38386</t>
        </is>
      </c>
      <c r="B419" s="12" t="inlineStr">
        <is>
          <t>Duraznos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IMG-20260929-WA0022_Starbucks Parque Dur.jpg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20" ht="21" customHeight="1">
      <c r="A420" s="17" t="inlineStr">
        <is>
          <t>38633</t>
        </is>
      </c>
      <c r="B420" s="8" t="inlineStr">
        <is>
          <t>Carretera Toluca Mexico (plaza cedros DT)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pro-Dnb3RyL9_Starbucks Carretera.jpeg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21" ht="21" customHeight="1">
      <c r="A421" s="15" t="inlineStr">
        <is>
          <t>38117</t>
        </is>
      </c>
      <c r="B421" s="12" t="inlineStr">
        <is>
          <t>Satelite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Sistema_Evidencia_OPS_Regional_Centro_Norte_V_Jorge Antonio Alcánt.png</t>
        </is>
      </c>
      <c r="F421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422" ht="21" customHeight="1">
      <c r="A422" s="17" t="inlineStr">
        <is>
          <t>38717</t>
        </is>
      </c>
      <c r="B422" s="8" t="inlineStr">
        <is>
          <t>Av Revolucion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17907062858713260066946581790533_Sandra Michaelle Gon.jpg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423" ht="21" customHeight="1">
      <c r="A423" s="15" t="inlineStr">
        <is>
          <t>38720</t>
        </is>
      </c>
      <c r="B423" s="12" t="inlineStr">
        <is>
          <t>Patio Barranca PB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17907053744701403662391205190543_Starbucks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424" ht="21" customHeight="1">
      <c r="A424" s="17" t="inlineStr">
        <is>
          <t>38400</t>
        </is>
      </c>
      <c r="B424" s="8" t="inlineStr">
        <is>
          <t>Centro Medico ABC Santa Fe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17907048649904553299126803878225_Starbucks Centro Méd.jpg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425" ht="21" customHeight="1">
      <c r="A425" s="15" t="inlineStr">
        <is>
          <t>38773</t>
        </is>
      </c>
      <c r="B425" s="12" t="inlineStr">
        <is>
          <t>Colegio Americano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image_Starbucks HOSPITAL 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426" ht="21" customHeight="1">
      <c r="A426" s="17" t="inlineStr">
        <is>
          <t>38727</t>
        </is>
      </c>
      <c r="B426" s="8" t="inlineStr">
        <is>
          <t>Centro Tk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image_Carlos Rodriguez Mor.jpg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427" ht="21" customHeight="1">
      <c r="A427" s="15" t="inlineStr">
        <is>
          <t>38363</t>
        </is>
      </c>
      <c r="B427" s="12" t="inlineStr">
        <is>
          <t>Galerias Atizapan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64A3A273-7E9E-4483-98B1-DA9FFAA5E2A0_Starbucks Galerias A.jpeg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28" ht="21" customHeight="1">
      <c r="A428" s="17" t="inlineStr">
        <is>
          <t>38166</t>
        </is>
      </c>
      <c r="B428" s="8" t="inlineStr">
        <is>
          <t>Superama SantaFe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fotos_juntas_izquierda_derecha_Starbucks Superama S.jpg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429" ht="21" customHeight="1">
      <c r="A429" s="15" t="inlineStr">
        <is>
          <t>38122</t>
        </is>
      </c>
      <c r="B429" s="12" t="inlineStr">
        <is>
          <t>Santa Fe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image_Starbucks Santa Fe.jpg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430" ht="21" customHeight="1">
      <c r="A430" s="17" t="inlineStr">
        <is>
          <t>38954</t>
        </is>
      </c>
      <c r="B430" s="8" t="inlineStr">
        <is>
          <t>Universidad Anahuac Campus Sur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17907025416638153292302154181555_Starbucks Universida.jpg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431" ht="21" customHeight="1">
      <c r="A431" s="15" t="inlineStr">
        <is>
          <t>38534</t>
        </is>
      </c>
      <c r="B431" s="12" t="inlineStr">
        <is>
          <t>Patio Santa Fe 1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17907023732558498002547326873597_Monica Luisa Baltaza.jpg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432" ht="21" customHeight="1">
      <c r="A432" s="17" t="inlineStr">
        <is>
          <t>43147</t>
        </is>
      </c>
      <c r="B432" s="8" t="inlineStr">
        <is>
          <t>Juarez 70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image_Starbucks Juarez 70.jpg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433" ht="21" customHeight="1">
      <c r="A433" s="15" t="inlineStr">
        <is>
          <t>38929</t>
        </is>
      </c>
      <c r="B433" s="12" t="inlineStr">
        <is>
          <t>Aeropuerto Toluca AMB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image_Starbucks Apto Toluc.jpg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434" ht="21" customHeight="1">
      <c r="A434" s="17" t="inlineStr">
        <is>
          <t>38755</t>
        </is>
      </c>
      <c r="B434" s="8" t="inlineStr">
        <is>
          <t>Corporativo Santander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image_Starbucks Corporativ.jpg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435" ht="21" customHeight="1">
      <c r="A435" s="15" t="inlineStr">
        <is>
          <t>38512</t>
        </is>
      </c>
      <c r="B435" s="12" t="inlineStr">
        <is>
          <t>Garden Santa Fe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IMG_20260929_111431_Perla Franco Brito.jpg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436" ht="21" customHeight="1">
      <c r="A436" s="17" t="inlineStr">
        <is>
          <t>38780</t>
        </is>
      </c>
      <c r="B436" s="8" t="inlineStr">
        <is>
          <t>Tec Santa Fe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17907019515118257165487028246287_Jesus Francisco Vazq.jpg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437" ht="21" customHeight="1">
      <c r="A437" s="15" t="inlineStr">
        <is>
          <t>38121</t>
        </is>
      </c>
      <c r="B437" s="12" t="inlineStr">
        <is>
          <t>Herradura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17907016434976330151614007036568_Fernando Axel Velasc.jpg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438" ht="21" customHeight="1">
      <c r="A438" s="17" t="inlineStr">
        <is>
          <t>43193</t>
        </is>
      </c>
      <c r="B438" s="8" t="inlineStr">
        <is>
          <t>Cosmopol N1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1790699935497746412465194118686_Starbucks Cosmopol N.jpg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439" ht="21" customHeight="1">
      <c r="A439" s="15" t="inlineStr">
        <is>
          <t>38129</t>
        </is>
      </c>
      <c r="B439" s="12" t="inlineStr">
        <is>
          <t>Plaza Santa Teresa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IMG_6321_Marlene Danaee Herna.jpeg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440" ht="21" customHeight="1">
      <c r="A440" s="17" t="inlineStr">
        <is>
          <t>38862</t>
        </is>
      </c>
      <c r="B440" s="8" t="inlineStr">
        <is>
          <t>San Miguel Izcalli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20260929_101259-COLLAGE_Starbucks San Miguel.jpg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441" ht="21" customHeight="1">
      <c r="A441" s="15" t="inlineStr">
        <is>
          <t>38661</t>
        </is>
      </c>
      <c r="B441" s="12" t="inlineStr">
        <is>
          <t>Jinetes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image_Starbucks Jinetes.jpg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442" ht="21" customHeight="1">
      <c r="A442" s="17" t="inlineStr">
        <is>
          <t>38124</t>
        </is>
      </c>
      <c r="B442" s="8" t="inlineStr">
        <is>
          <t>San Jeronimo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IMG-20260928-WA0010_Starbucks San Jeroni.jpg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443" ht="21" customHeight="1">
      <c r="A443" s="15" t="inlineStr">
        <is>
          <t>38124</t>
        </is>
      </c>
      <c r="B443" s="12" t="inlineStr">
        <is>
          <t>San Jeronimo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IMG-20260928-WA0007_Starbucks San Jeroni.jpg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444" ht="21" customHeight="1">
      <c r="A444" s="17" t="inlineStr">
        <is>
          <t>38116</t>
        </is>
      </c>
      <c r="B444" s="8" t="inlineStr">
        <is>
          <t>Santa Teresa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image_Starbucks Santa Tere.jpg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445" ht="21" customHeight="1">
      <c r="A445" s="15" t="inlineStr">
        <is>
          <t>38124</t>
        </is>
      </c>
      <c r="B445" s="12" t="inlineStr">
        <is>
          <t>San Jeronimo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IMG-20260928-WA0005_Starbucks San Jeroni.jpg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46" ht="21" customHeight="1">
      <c r="A446" s="17" t="inlineStr">
        <is>
          <t>38169</t>
        </is>
      </c>
      <c r="B446" s="8" t="inlineStr">
        <is>
          <t>Altavista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1790633020135949333741733695445_Starbucks Altavista.jpg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47" ht="21" customHeight="1">
      <c r="A447" s="15" t="inlineStr">
        <is>
          <t>38571</t>
        </is>
      </c>
      <c r="B447" s="12" t="inlineStr">
        <is>
          <t>Jolie Place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Screenshot_20260928-155844.Drive_Laila America Muñoz.png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48" ht="21" customHeight="1">
      <c r="A448" s="17" t="inlineStr">
        <is>
          <t>38615</t>
        </is>
      </c>
      <c r="B448" s="8" t="inlineStr">
        <is>
          <t>Grand San Jeronimo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17906326268534085397137724795773_Starbucks Grand San.jpg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49" ht="21" customHeight="1">
      <c r="A449" s="15" t="inlineStr">
        <is>
          <t>38447</t>
        </is>
      </c>
      <c r="B449" s="12" t="inlineStr">
        <is>
          <t>Hospital Angeles del Pedregal</t>
        </is>
      </c>
      <c r="C449" s="12" t="inlineStr">
        <is>
          <t>Organización Refrigeradores Back</t>
        </is>
      </c>
      <c r="D449" s="12" t="inlineStr">
        <is>
          <t>Antes</t>
        </is>
      </c>
      <c r="E449" s="12" t="inlineStr">
        <is>
          <t>c4ce60af-9ddb-47fc-b4c9-ea81f7bd273b_Starbucks Hospital A.jpeg</t>
        </is>
      </c>
      <c r="F44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50" ht="21" customHeight="1">
      <c r="A450" s="17" t="inlineStr">
        <is>
          <t>38447</t>
        </is>
      </c>
      <c r="B450" s="8" t="inlineStr">
        <is>
          <t>Hospital Angeles del Pedregal</t>
        </is>
      </c>
      <c r="C450" s="8" t="inlineStr">
        <is>
          <t>Organización Refrigeradores Back</t>
        </is>
      </c>
      <c r="D450" s="8" t="inlineStr">
        <is>
          <t>Después</t>
        </is>
      </c>
      <c r="E450" s="8" t="inlineStr">
        <is>
          <t>07CC6D17-055D-459A-9720-388498BCDE60_Starbucks Hospital A.jpeg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51" ht="21" customHeight="1">
      <c r="A451" s="15" t="inlineStr">
        <is>
          <t>38456</t>
        </is>
      </c>
      <c r="B451" s="12" t="inlineStr">
        <is>
          <t>Plaza las Flores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17906248660798027879660485910940_Ramon Espinosa Macia.jpg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52" ht="21" customHeight="1">
      <c r="A452" s="17" t="inlineStr">
        <is>
          <t>38580</t>
        </is>
      </c>
      <c r="B452" s="8" t="inlineStr">
        <is>
          <t>Pasaje San Jeronimo</t>
        </is>
      </c>
      <c r="C452" s="8" t="inlineStr">
        <is>
          <t>Organización Refrigeradores Back</t>
        </is>
      </c>
      <c r="D452" s="8" t="inlineStr">
        <is>
          <t>Antes</t>
        </is>
      </c>
      <c r="E452" s="8" t="inlineStr">
        <is>
          <t>IMG_20260928_135208_Amparo Delgado Resén.jpg</t>
        </is>
      </c>
      <c r="F45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53" ht="21" customHeight="1">
      <c r="A453" s="15" t="inlineStr">
        <is>
          <t>38580</t>
        </is>
      </c>
      <c r="B453" s="12" t="inlineStr">
        <is>
          <t>Pasaje San Jeronimo</t>
        </is>
      </c>
      <c r="C453" s="12" t="inlineStr">
        <is>
          <t>Organización Refrigeradores Back</t>
        </is>
      </c>
      <c r="D453" s="12" t="inlineStr">
        <is>
          <t>Después</t>
        </is>
      </c>
      <c r="E453" s="12" t="inlineStr">
        <is>
          <t>IMG_20260928_135208_Amparo Delgado Resén.jpg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54" ht="21" customHeight="1">
      <c r="A454" s="17" t="inlineStr">
        <is>
          <t>38333</t>
        </is>
      </c>
      <c r="B454" s="8" t="inlineStr">
        <is>
          <t>Izcalli Mega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D510E489-431E-4D9A-9DCC-D0BEF33C84F5_Starbucks Mega Izcal.jpeg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55" ht="21" customHeight="1">
      <c r="A455" s="15" t="inlineStr">
        <is>
          <t>38447</t>
        </is>
      </c>
      <c r="B455" s="12" t="inlineStr">
        <is>
          <t>Hospital Angeles del Pedregal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3d72dffb-61fa-4c53-a420-27f819a535bc_Starbucks Hospital A.jpeg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56" ht="21" customHeight="1">
      <c r="A456" s="17" t="inlineStr">
        <is>
          <t>38580</t>
        </is>
      </c>
      <c r="B456" s="8" t="inlineStr">
        <is>
          <t>Pasaje San Jeronimo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IMG_20260928_133856_Amparo Delgado Resén.jpg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57" ht="21" customHeight="1">
      <c r="A457" s="15" t="inlineStr">
        <is>
          <t>38580</t>
        </is>
      </c>
      <c r="B457" s="12" t="inlineStr">
        <is>
          <t>Pasaje San Jeronimo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17906239264083416231501546352865_Amparo Delgado Resén.jpg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58" ht="21" customHeight="1">
      <c r="A458" s="17" t="inlineStr">
        <is>
          <t>38580</t>
        </is>
      </c>
      <c r="B458" s="8" t="inlineStr">
        <is>
          <t>Pasaje San Jeronimo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IMG_20260928_131507_Amparo Delgado Resén.jpg</t>
        </is>
      </c>
      <c r="F458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59" ht="21" customHeight="1">
      <c r="A459" s="15" t="inlineStr">
        <is>
          <t>38615</t>
        </is>
      </c>
      <c r="B459" s="12" t="inlineStr">
        <is>
          <t>Grand San Jeronimo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17906215172309032253877619866021_Starbucks Grand San.jpg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60" ht="21" customHeight="1">
      <c r="A460" s="17" t="inlineStr">
        <is>
          <t>38894</t>
        </is>
      </c>
      <c r="B460" s="8" t="inlineStr">
        <is>
          <t>Galerias Perinorte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image_Starbucks Galerias P.jpg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61" ht="21" customHeight="1">
      <c r="A461" s="15" t="inlineStr">
        <is>
          <t>38107</t>
        </is>
      </c>
      <c r="B461" s="12" t="inlineStr">
        <is>
          <t>Pedregal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Collage_20260928_123453194_Ana Laura Gonzalez M.jpg</t>
        </is>
      </c>
      <c r="F461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62" ht="21" customHeight="1">
      <c r="A462" s="17" t="inlineStr">
        <is>
          <t>43159</t>
        </is>
      </c>
      <c r="B462" s="8" t="inlineStr">
        <is>
          <t>Hospital Angeles del Pedregal II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17906202978228533674482905004280_Starbucks Hospital A.jpg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63" ht="21" customHeight="1">
      <c r="A463" s="15" t="inlineStr">
        <is>
          <t>38107</t>
        </is>
      </c>
      <c r="B463" s="12" t="inlineStr">
        <is>
          <t>Pedregal</t>
        </is>
      </c>
      <c r="C463" s="12" t="inlineStr">
        <is>
          <t>Organización Refrigeradores Back</t>
        </is>
      </c>
      <c r="D463" s="12" t="inlineStr">
        <is>
          <t>Antes</t>
        </is>
      </c>
      <c r="E463" s="12" t="inlineStr">
        <is>
          <t>IMG_20260909_071544_Ana Laura Gonzalez M.jpg</t>
        </is>
      </c>
      <c r="F463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64" ht="21" customHeight="1">
      <c r="A464" s="17" t="inlineStr">
        <is>
          <t>38107</t>
        </is>
      </c>
      <c r="B464" s="8" t="inlineStr">
        <is>
          <t>Pedregal</t>
        </is>
      </c>
      <c r="C464" s="8" t="inlineStr">
        <is>
          <t>Organización Refrigeradores Back</t>
        </is>
      </c>
      <c r="D464" s="8" t="inlineStr">
        <is>
          <t>Después</t>
        </is>
      </c>
      <c r="E464" s="8" t="inlineStr">
        <is>
          <t>IMG_20260928_122845_Ana Laura Gonzalez M.jpg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65" ht="21" customHeight="1">
      <c r="A465" s="15" t="inlineStr">
        <is>
          <t>38691</t>
        </is>
      </c>
      <c r="B465" s="12" t="inlineStr">
        <is>
          <t>Patio Revolución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image_Rosa Patricia Aguila.jpg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66" ht="21" customHeight="1">
      <c r="A466" s="17" t="inlineStr">
        <is>
          <t>38615</t>
        </is>
      </c>
      <c r="B466" s="8" t="inlineStr">
        <is>
          <t>Grand San Jeronimo</t>
        </is>
      </c>
      <c r="C466" s="8" t="inlineStr">
        <is>
          <t>Organización Refrigeradores Back</t>
        </is>
      </c>
      <c r="D466" s="8" t="inlineStr">
        <is>
          <t>Antes</t>
        </is>
      </c>
      <c r="E466" s="8" t="inlineStr">
        <is>
          <t>IMG-20260928-WA0012_Starbucks Grand San.jpg</t>
        </is>
      </c>
      <c r="F466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67" ht="21" customHeight="1">
      <c r="A467" s="15" t="inlineStr">
        <is>
          <t>38615</t>
        </is>
      </c>
      <c r="B467" s="12" t="inlineStr">
        <is>
          <t>Grand San Jeronimo</t>
        </is>
      </c>
      <c r="C467" s="12" t="inlineStr">
        <is>
          <t>Organización Refrigeradores Back</t>
        </is>
      </c>
      <c r="D467" s="12" t="inlineStr">
        <is>
          <t>Después</t>
        </is>
      </c>
      <c r="E467" s="12" t="inlineStr">
        <is>
          <t>IMG-20260928-WA0019_Starbucks Grand San.jpg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68" ht="21" customHeight="1">
      <c r="A468" s="17" t="inlineStr">
        <is>
          <t>38571</t>
        </is>
      </c>
      <c r="B468" s="8" t="inlineStr">
        <is>
          <t>Jolie Place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17906154915515136307138135372529_Laila America Muñoz.jpg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69" ht="21" customHeight="1">
      <c r="A469" s="15" t="inlineStr">
        <is>
          <t>38129</t>
        </is>
      </c>
      <c r="B469" s="12" t="inlineStr">
        <is>
          <t>Plaza Santa Teresa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IMG_6301_Marlene Danaee Herna.jpeg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70" ht="21" customHeight="1">
      <c r="A470" s="17" t="inlineStr">
        <is>
          <t>38615</t>
        </is>
      </c>
      <c r="B470" s="8" t="inlineStr">
        <is>
          <t>Grand San Jeronimo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LayOut_Distrital_Cesar_Alfonso_Castillo_Grand_Starbucks Grand San.jpg</t>
        </is>
      </c>
      <c r="F470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71" ht="21" customHeight="1">
      <c r="A471" s="15" t="inlineStr">
        <is>
          <t>38428</t>
        </is>
      </c>
      <c r="B471" s="12" t="inlineStr">
        <is>
          <t>Jardines del Pedregal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image_Jose Arturo Ocampo M.jpg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72" ht="21" customHeight="1">
      <c r="A472" s="17" t="inlineStr">
        <is>
          <t>38428</t>
        </is>
      </c>
      <c r="B472" s="8" t="inlineStr">
        <is>
          <t>Jardines del Pedregal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image_Jose Arturo Ocampo M.jpg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73" ht="21" customHeight="1">
      <c r="A473" s="15" t="inlineStr">
        <is>
          <t>43159</t>
        </is>
      </c>
      <c r="B473" s="12" t="inlineStr">
        <is>
          <t>Hospital Angeles del Pedregal II</t>
        </is>
      </c>
      <c r="C473" s="12" t="inlineStr">
        <is>
          <t>Organización Refrigeradores Back</t>
        </is>
      </c>
      <c r="D473" s="12" t="inlineStr">
        <is>
          <t>Antes</t>
        </is>
      </c>
      <c r="E473" s="12" t="inlineStr">
        <is>
          <t>IMG-20260522-WA0025_Starbucks Hospital A.jpg</t>
        </is>
      </c>
      <c r="F47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74" ht="21" customHeight="1">
      <c r="A474" s="17" t="inlineStr">
        <is>
          <t>43159</t>
        </is>
      </c>
      <c r="B474" s="8" t="inlineStr">
        <is>
          <t>Hospital Angeles del Pedregal II</t>
        </is>
      </c>
      <c r="C474" s="8" t="inlineStr">
        <is>
          <t>Organización Refrigeradores Back</t>
        </is>
      </c>
      <c r="D474" s="8" t="inlineStr">
        <is>
          <t>Después</t>
        </is>
      </c>
      <c r="E474" s="8" t="inlineStr">
        <is>
          <t>17906143817678312607789152762485_Starbucks Hospital A.jpg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75" ht="21" customHeight="1">
      <c r="A475" s="15" t="inlineStr">
        <is>
          <t>38571</t>
        </is>
      </c>
      <c r="B475" s="12" t="inlineStr">
        <is>
          <t>Jolie Place</t>
        </is>
      </c>
      <c r="C475" s="12" t="inlineStr">
        <is>
          <t>Organización Refrigeradores Back</t>
        </is>
      </c>
      <c r="D475" s="12" t="inlineStr">
        <is>
          <t>Antes</t>
        </is>
      </c>
      <c r="E475" s="12" t="inlineStr">
        <is>
          <t>IMG-20260917-WA0048_Laila America Muñoz.jpg</t>
        </is>
      </c>
      <c r="F47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76" ht="21" customHeight="1">
      <c r="A476" s="17" t="inlineStr">
        <is>
          <t>38571</t>
        </is>
      </c>
      <c r="B476" s="8" t="inlineStr">
        <is>
          <t>Jolie Place</t>
        </is>
      </c>
      <c r="C476" s="8" t="inlineStr">
        <is>
          <t>Organización Refrigeradores Back</t>
        </is>
      </c>
      <c r="D476" s="8" t="inlineStr">
        <is>
          <t>Después</t>
        </is>
      </c>
      <c r="E476" s="8" t="inlineStr">
        <is>
          <t>1790614206736132548087897768143_Laila America Muñoz.jpg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77" ht="21" customHeight="1">
      <c r="A477" s="15" t="inlineStr">
        <is>
          <t>38129</t>
        </is>
      </c>
      <c r="B477" s="12" t="inlineStr">
        <is>
          <t>Plaza Santa Teresa</t>
        </is>
      </c>
      <c r="C477" s="12" t="inlineStr">
        <is>
          <t>Lay Out</t>
        </is>
      </c>
      <c r="D477" s="12" t="inlineStr">
        <is>
          <t>Evidencia</t>
        </is>
      </c>
      <c r="E477" s="12" t="inlineStr">
        <is>
          <t>LayOut_Distrital_Cesar_Alfonso_Castillo_Romer_Marlene Danaee Herna.jpg</t>
        </is>
      </c>
      <c r="F47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78" ht="21" customHeight="1">
      <c r="A478" s="17" t="inlineStr">
        <is>
          <t>38561</t>
        </is>
      </c>
      <c r="B478" s="8" t="inlineStr">
        <is>
          <t>Parque Toreo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17906107821271010478677792272711_Sergio Daniel Parra.jpg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79" ht="21" customHeight="1">
      <c r="A479" s="15" t="inlineStr">
        <is>
          <t>38561</t>
        </is>
      </c>
      <c r="B479" s="12" t="inlineStr">
        <is>
          <t>Parque Toreo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17906105971725611291123384245563_Sergio Daniel Parra.jpg</t>
        </is>
      </c>
      <c r="F47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80" ht="21" customHeight="1">
      <c r="A480" s="17" t="inlineStr">
        <is>
          <t>38561</t>
        </is>
      </c>
      <c r="B480" s="8" t="inlineStr">
        <is>
          <t>Parque Toreo</t>
        </is>
      </c>
      <c r="C480" s="8" t="inlineStr">
        <is>
          <t>Organización Refrigeradores Back</t>
        </is>
      </c>
      <c r="D480" s="8" t="inlineStr">
        <is>
          <t>Antes</t>
        </is>
      </c>
      <c r="E480" s="8" t="inlineStr">
        <is>
          <t>IMG20260921065014_Sergio Daniel Parra.jpg</t>
        </is>
      </c>
      <c r="F48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81" ht="21" customHeight="1">
      <c r="A481" s="15" t="inlineStr">
        <is>
          <t>38561</t>
        </is>
      </c>
      <c r="B481" s="12" t="inlineStr">
        <is>
          <t>Parque Toreo</t>
        </is>
      </c>
      <c r="C481" s="12" t="inlineStr">
        <is>
          <t>Organización Refrigeradores Back</t>
        </is>
      </c>
      <c r="D481" s="12" t="inlineStr">
        <is>
          <t>Después</t>
        </is>
      </c>
      <c r="E481" s="12" t="inlineStr">
        <is>
          <t>IMG20260928094806_Sergio Daniel Parra.jpg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82" ht="21" customHeight="1">
      <c r="A482" s="17" t="inlineStr">
        <is>
          <t>38417</t>
        </is>
      </c>
      <c r="B482" s="8" t="inlineStr">
        <is>
          <t>San Jose Insurgentes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IMG_7174_Starbucks San José I.jpeg</t>
        </is>
      </c>
      <c r="F48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83" ht="21" customHeight="1">
      <c r="A483" s="15" t="inlineStr">
        <is>
          <t>38611</t>
        </is>
      </c>
      <c r="B483" s="12" t="inlineStr">
        <is>
          <t>Plaza Basica</t>
        </is>
      </c>
      <c r="C483" s="12" t="inlineStr">
        <is>
          <t>Lay Out</t>
        </is>
      </c>
      <c r="D483" s="12" t="inlineStr">
        <is>
          <t>Evidencia</t>
        </is>
      </c>
      <c r="E483" s="12" t="inlineStr">
        <is>
          <t>1790542158367636061683927823618_Starbucks Plaza Basi.jpg</t>
        </is>
      </c>
      <c r="F48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84" ht="21" customHeight="1">
      <c r="A484" s="17" t="inlineStr">
        <is>
          <t>38430</t>
        </is>
      </c>
      <c r="B484" s="8" t="inlineStr">
        <is>
          <t>Prisma Insurgentes</t>
        </is>
      </c>
      <c r="C484" s="8" t="inlineStr">
        <is>
          <t>Lay Out</t>
        </is>
      </c>
      <c r="D484" s="8" t="inlineStr">
        <is>
          <t>Evidencia</t>
        </is>
      </c>
      <c r="E484" s="8" t="inlineStr">
        <is>
          <t>17904507892586859638888024589976_Starbucks Prisma Ins.jpg</t>
        </is>
      </c>
      <c r="F48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85" ht="21" customHeight="1">
      <c r="A485" s="15" t="inlineStr">
        <is>
          <t>38716</t>
        </is>
      </c>
      <c r="B485" s="12" t="inlineStr">
        <is>
          <t>Multiplaza Bosques</t>
        </is>
      </c>
      <c r="C485" s="12" t="inlineStr">
        <is>
          <t>Lay Out</t>
        </is>
      </c>
      <c r="D485" s="12" t="inlineStr">
        <is>
          <t>Evidencia</t>
        </is>
      </c>
      <c r="E485" s="12" t="inlineStr">
        <is>
          <t>IMG_7442_Johan Aldair Sanchez.jpeg</t>
        </is>
      </c>
      <c r="F48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86" ht="21" customHeight="1">
      <c r="A486" s="17" t="inlineStr">
        <is>
          <t>38458</t>
        </is>
      </c>
      <c r="B486" s="8" t="inlineStr">
        <is>
          <t>El Rosario</t>
        </is>
      </c>
      <c r="C486" s="8" t="inlineStr">
        <is>
          <t>Organización Refrigeradores Back</t>
        </is>
      </c>
      <c r="D486" s="8" t="inlineStr">
        <is>
          <t>Antes</t>
        </is>
      </c>
      <c r="E486" s="8" t="inlineStr">
        <is>
          <t>CF4C21AA-92CD-423F-ACF7-DF771110D205_Brenda Ashanti Menez.jpeg</t>
        </is>
      </c>
      <c r="F48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87" ht="21" customHeight="1">
      <c r="A487" s="15" t="inlineStr">
        <is>
          <t>38458</t>
        </is>
      </c>
      <c r="B487" s="12" t="inlineStr">
        <is>
          <t>El Rosario</t>
        </is>
      </c>
      <c r="C487" s="12" t="inlineStr">
        <is>
          <t>Organización Refrigeradores Back</t>
        </is>
      </c>
      <c r="D487" s="12" t="inlineStr">
        <is>
          <t>Después</t>
        </is>
      </c>
      <c r="E487" s="12" t="inlineStr">
        <is>
          <t>IMG_7924_Brenda Ashanti Menez.jpeg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88" ht="21" customHeight="1">
      <c r="A488" s="17" t="inlineStr">
        <is>
          <t>38116</t>
        </is>
      </c>
      <c r="B488" s="8" t="inlineStr">
        <is>
          <t>Santa Teresa</t>
        </is>
      </c>
      <c r="C488" s="8" t="inlineStr">
        <is>
          <t>Organización Refrigeradores Back</t>
        </is>
      </c>
      <c r="D488" s="8" t="inlineStr">
        <is>
          <t>Antes</t>
        </is>
      </c>
      <c r="E488" s="8" t="inlineStr">
        <is>
          <t>IMG_6638_Starbucks Santa Tere.jpeg</t>
        </is>
      </c>
      <c r="F48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89" ht="21" customHeight="1">
      <c r="A489" s="15" t="inlineStr">
        <is>
          <t>38116</t>
        </is>
      </c>
      <c r="B489" s="12" t="inlineStr">
        <is>
          <t>Santa Teresa</t>
        </is>
      </c>
      <c r="C489" s="12" t="inlineStr">
        <is>
          <t>Organización Refrigeradores Back</t>
        </is>
      </c>
      <c r="D489" s="12" t="inlineStr">
        <is>
          <t>Después</t>
        </is>
      </c>
      <c r="E489" s="12" t="inlineStr">
        <is>
          <t>IMG_6639_Starbucks Santa Tere.jpeg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90" ht="21" customHeight="1">
      <c r="A490" s="17" t="inlineStr">
        <is>
          <t>43183</t>
        </is>
      </c>
      <c r="B490" s="8" t="inlineStr">
        <is>
          <t>Puerta Texcoco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Screenshot_2026-09-23-18-12-22-771_com.miui.g_Starbucks Puerta Tex.jpg</t>
        </is>
      </c>
      <c r="F49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91" ht="21" customHeight="1">
      <c r="A491" s="15" t="inlineStr">
        <is>
          <t>38590</t>
        </is>
      </c>
      <c r="B491" s="12" t="inlineStr">
        <is>
          <t>Parque Toreo II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WhatsApp Image 2026-09-23 at 13.04.34_Jaime Arath Correa S.jpeg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92" ht="21" customHeight="1">
      <c r="A492" s="17" t="inlineStr">
        <is>
          <t>38501</t>
        </is>
      </c>
      <c r="B492" s="8" t="inlineStr">
        <is>
          <t>Patio Universidad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LayOut_Distrital_Alberto_Quevedo_Patio_Univer_Starbucks Patio Univ.jpeg</t>
        </is>
      </c>
      <c r="F49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93" ht="21" customHeight="1">
      <c r="A493" s="15" t="inlineStr">
        <is>
          <t>38116</t>
        </is>
      </c>
      <c r="B493" s="12" t="inlineStr">
        <is>
          <t>Santa Teresa</t>
        </is>
      </c>
      <c r="C493" s="12" t="inlineStr">
        <is>
          <t>Lay Out</t>
        </is>
      </c>
      <c r="D493" s="12" t="inlineStr">
        <is>
          <t>Evidencia</t>
        </is>
      </c>
      <c r="E493" s="12" t="inlineStr">
        <is>
          <t>LayOut_Distrital_Cesar_Alfonso_Castillo_Romer_Starbucks Santa Tere.jpg</t>
        </is>
      </c>
      <c r="F49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94" ht="21" customHeight="1">
      <c r="A494" s="17" t="inlineStr">
        <is>
          <t>38691</t>
        </is>
      </c>
      <c r="B494" s="8" t="inlineStr">
        <is>
          <t>Patio Revolución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IMG_8275_Rosa Patricia Aguila.png</t>
        </is>
      </c>
      <c r="F49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95" ht="21" customHeight="1">
      <c r="A495" s="15" t="inlineStr">
        <is>
          <t>38447</t>
        </is>
      </c>
      <c r="B495" s="12" t="inlineStr">
        <is>
          <t>Hospital Angeles del Pedregal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LayOut_Distrital_Cesar_Alfonso_Castillo_Romer_Starbucks Hospital A.jpg</t>
        </is>
      </c>
      <c r="F49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96" ht="21" customHeight="1">
      <c r="A496" s="17" t="inlineStr">
        <is>
          <t>38472</t>
        </is>
      </c>
      <c r="B496" s="8" t="inlineStr">
        <is>
          <t>Plaza America DT</t>
        </is>
      </c>
      <c r="C496" s="8" t="inlineStr">
        <is>
          <t>Lay Out</t>
        </is>
      </c>
      <c r="D496" s="8" t="inlineStr">
        <is>
          <t>Evidencia</t>
        </is>
      </c>
      <c r="E496" s="8" t="inlineStr">
        <is>
          <t>IMG-20260922-WA0017_Starbucks Plaza Amér.jpg</t>
        </is>
      </c>
      <c r="F49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97" ht="21" customHeight="1">
      <c r="A497" s="15" t="inlineStr">
        <is>
          <t>43034</t>
        </is>
      </c>
      <c r="B497" s="12" t="inlineStr">
        <is>
          <t>Macroplaza Tecamac</t>
        </is>
      </c>
      <c r="C497" s="12" t="inlineStr">
        <is>
          <t>Lay Out</t>
        </is>
      </c>
      <c r="D497" s="12" t="inlineStr">
        <is>
          <t>Evidencia</t>
        </is>
      </c>
      <c r="E497" s="12" t="inlineStr">
        <is>
          <t>1790037927702882957485240582549_Starbucks Macroplaza.jpg</t>
        </is>
      </c>
      <c r="F49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98" ht="21" customHeight="1">
      <c r="A498" s="17" t="inlineStr">
        <is>
          <t>38429</t>
        </is>
      </c>
      <c r="B498" s="8" t="inlineStr">
        <is>
          <t>Plaza Aragon</t>
        </is>
      </c>
      <c r="C498" s="8" t="inlineStr">
        <is>
          <t>Lay Out</t>
        </is>
      </c>
      <c r="D498" s="8" t="inlineStr">
        <is>
          <t>Evidencia</t>
        </is>
      </c>
      <c r="E498" s="8" t="inlineStr">
        <is>
          <t>image_Starbucks Plaza Arag.jpg</t>
        </is>
      </c>
      <c r="F49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99" ht="21" customHeight="1">
      <c r="A499" s="15" t="inlineStr">
        <is>
          <t>38468</t>
        </is>
      </c>
      <c r="B499" s="12" t="inlineStr">
        <is>
          <t>Portal Churubusco</t>
        </is>
      </c>
      <c r="C499" s="12" t="inlineStr">
        <is>
          <t>Lay Out</t>
        </is>
      </c>
      <c r="D499" s="12" t="inlineStr">
        <is>
          <t>Evidencia</t>
        </is>
      </c>
      <c r="E499" s="12" t="inlineStr">
        <is>
          <t>Screenshot_20260921_131656_Drive_Starbucks Portal Chu.jpg</t>
        </is>
      </c>
      <c r="F49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500" ht="21" customHeight="1">
      <c r="A500" s="17" t="inlineStr">
        <is>
          <t>38496</t>
        </is>
      </c>
      <c r="B500" s="8" t="inlineStr">
        <is>
          <t>Casa Taxqueña</t>
        </is>
      </c>
      <c r="C500" s="8" t="inlineStr">
        <is>
          <t>Lay Out</t>
        </is>
      </c>
      <c r="D500" s="8" t="inlineStr">
        <is>
          <t>Evidencia</t>
        </is>
      </c>
      <c r="E500" s="8" t="inlineStr">
        <is>
          <t>27c349bf-709d-4acb-91f8-1985280a19c5_Starbucks Taxqueña.jpeg</t>
        </is>
      </c>
      <c r="F50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01" ht="21" customHeight="1">
      <c r="A501" s="15" t="inlineStr">
        <is>
          <t>38659</t>
        </is>
      </c>
      <c r="B501" s="12" t="inlineStr">
        <is>
          <t>Sendero Ixtapaluca</t>
        </is>
      </c>
      <c r="C501" s="12" t="inlineStr">
        <is>
          <t>Lay Out</t>
        </is>
      </c>
      <c r="D501" s="12" t="inlineStr">
        <is>
          <t>Evidencia</t>
        </is>
      </c>
      <c r="E501" s="12" t="inlineStr">
        <is>
          <t>fcd2f50b-4f13-43a1-aa77-776026856ad0_Starbucks Sendero Ix.jpeg</t>
        </is>
      </c>
      <c r="F50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02" ht="21" customHeight="1">
      <c r="A502" s="17" t="inlineStr">
        <is>
          <t>43164</t>
        </is>
      </c>
      <c r="B502" s="8" t="inlineStr">
        <is>
          <t>Blvd Ojo de Agua DT</t>
        </is>
      </c>
      <c r="C502" s="8" t="inlineStr">
        <is>
          <t>Lay Out</t>
        </is>
      </c>
      <c r="D502" s="8" t="inlineStr">
        <is>
          <t>Evidencia</t>
        </is>
      </c>
      <c r="E502" s="8" t="inlineStr">
        <is>
          <t>4c33b8c1-1adb-4d1d-9ef3-90e355452f1b_Johan Arellano Navar.jpeg</t>
        </is>
      </c>
      <c r="F50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03" ht="21" customHeight="1">
      <c r="A503" s="15" t="inlineStr">
        <is>
          <t>38801</t>
        </is>
      </c>
      <c r="B503" s="12" t="inlineStr">
        <is>
          <t>Antenas PB</t>
        </is>
      </c>
      <c r="C503" s="12" t="inlineStr">
        <is>
          <t>Lay Out</t>
        </is>
      </c>
      <c r="D503" s="12" t="inlineStr">
        <is>
          <t>Evidencia</t>
        </is>
      </c>
      <c r="E503" s="12" t="inlineStr">
        <is>
          <t>ESPRESSO_Eloisa Adriana Rosas.jpeg</t>
        </is>
      </c>
      <c r="F50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04" ht="21" customHeight="1">
      <c r="A504" s="17" t="inlineStr">
        <is>
          <t>43026</t>
        </is>
      </c>
      <c r="B504" s="8" t="inlineStr">
        <is>
          <t>Plaza Ermita</t>
        </is>
      </c>
      <c r="C504" s="8" t="inlineStr">
        <is>
          <t>Lay Out</t>
        </is>
      </c>
      <c r="D504" s="8" t="inlineStr">
        <is>
          <t>Evidencia</t>
        </is>
      </c>
      <c r="E504" s="8" t="inlineStr">
        <is>
          <t>image_Starbucks Plaza Ermi.jpg</t>
        </is>
      </c>
      <c r="F50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05" ht="21" customHeight="1">
      <c r="A505" s="15" t="inlineStr">
        <is>
          <t>43070</t>
        </is>
      </c>
      <c r="B505" s="12" t="inlineStr">
        <is>
          <t>Rojo Gomez DT</t>
        </is>
      </c>
      <c r="C505" s="12" t="inlineStr">
        <is>
          <t>Organización Refrigeradores Back</t>
        </is>
      </c>
      <c r="D505" s="12" t="inlineStr">
        <is>
          <t>Antes</t>
        </is>
      </c>
      <c r="E505" s="12" t="inlineStr">
        <is>
          <t>85a00fe0-7cf9-445c-a250-3d68aacc3729_Starbucks Rojo Gomez.jpeg</t>
        </is>
      </c>
      <c r="F50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06" ht="21" customHeight="1">
      <c r="A506" s="17" t="inlineStr">
        <is>
          <t>43070</t>
        </is>
      </c>
      <c r="B506" s="8" t="inlineStr">
        <is>
          <t>Rojo Gomez DT</t>
        </is>
      </c>
      <c r="C506" s="8" t="inlineStr">
        <is>
          <t>Organización Refrigeradores Back</t>
        </is>
      </c>
      <c r="D506" s="8" t="inlineStr">
        <is>
          <t>Después</t>
        </is>
      </c>
      <c r="E506" s="8" t="inlineStr">
        <is>
          <t>image_Starbucks Rojo Gomez.jpg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07" ht="21" customHeight="1">
      <c r="A507" s="15" t="inlineStr">
        <is>
          <t>38502</t>
        </is>
      </c>
      <c r="B507" s="12" t="inlineStr">
        <is>
          <t>San Marcos DT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San Marcos 1.jpg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08" ht="21" customHeight="1">
      <c r="A508" s="17" t="inlineStr">
        <is>
          <t>43070</t>
        </is>
      </c>
      <c r="B508" s="8" t="inlineStr">
        <is>
          <t>Rojo Gomez DT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image_Starbucks Rojo Gomez.jpg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09" ht="21" customHeight="1">
      <c r="A509" s="15" t="inlineStr">
        <is>
          <t>38502</t>
        </is>
      </c>
      <c r="B509" s="12" t="inlineStr">
        <is>
          <t>San Marcos DT</t>
        </is>
      </c>
      <c r="C509" s="12" t="inlineStr">
        <is>
          <t>Lay Out</t>
        </is>
      </c>
      <c r="D509" s="12" t="inlineStr">
        <is>
          <t>Evidencia</t>
        </is>
      </c>
      <c r="E509" s="12" t="inlineStr">
        <is>
          <t>Captura de pantalla 2026-09-21 a la(s) 11.20._Starbucks San Marcos 1.png</t>
        </is>
      </c>
      <c r="F50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10" ht="21" customHeight="1">
      <c r="A510" s="17" t="inlineStr">
        <is>
          <t>38855</t>
        </is>
      </c>
      <c r="B510" s="8" t="inlineStr">
        <is>
          <t>Plaza Zapotitlán DT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17900131498944984186324606561468_Starbucks Plaza Zapo.jpg</t>
        </is>
      </c>
      <c r="F510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511" ht="21" customHeight="1">
      <c r="A511" s="15" t="inlineStr">
        <is>
          <t>38657</t>
        </is>
      </c>
      <c r="B511" s="12" t="inlineStr">
        <is>
          <t>Patio Lomas Estrella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351B82AB-4432-4A0C-9B85-CBE8626904A3_Starbucks Patio Loma.jpeg</t>
        </is>
      </c>
      <c r="F511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512" ht="21" customHeight="1">
      <c r="A512" s="17" t="inlineStr">
        <is>
          <t>43070</t>
        </is>
      </c>
      <c r="B512" s="8" t="inlineStr">
        <is>
          <t>Rojo Gomez DT</t>
        </is>
      </c>
      <c r="C512" s="8" t="inlineStr">
        <is>
          <t>Lay Out</t>
        </is>
      </c>
      <c r="D512" s="8" t="inlineStr">
        <is>
          <t>Evidencia</t>
        </is>
      </c>
      <c r="E512" s="8" t="inlineStr">
        <is>
          <t>E9257EBB-FA15-415F-9F3A-3FC16EDC4B54_Starbucks Rojo Gomez.png</t>
        </is>
      </c>
      <c r="F51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513" ht="21" customHeight="1">
      <c r="A513" s="15" t="inlineStr">
        <is>
          <t>38594</t>
        </is>
      </c>
      <c r="B513" s="12" t="inlineStr">
        <is>
          <t>Carretera Mexico Puebla</t>
        </is>
      </c>
      <c r="C513" s="12" t="inlineStr">
        <is>
          <t>Lay Out</t>
        </is>
      </c>
      <c r="D513" s="12" t="inlineStr">
        <is>
          <t>Evidencia</t>
        </is>
      </c>
      <c r="E513" s="12" t="inlineStr">
        <is>
          <t>17900109651253392560454380281814_Starbucks Carretera.jpg</t>
        </is>
      </c>
      <c r="F51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514" ht="21" customHeight="1">
      <c r="A514" s="17" t="inlineStr">
        <is>
          <t>43169</t>
        </is>
      </c>
      <c r="B514" s="8" t="inlineStr">
        <is>
          <t>Plaza Tepozán</t>
        </is>
      </c>
      <c r="C514" s="8" t="inlineStr">
        <is>
          <t>Lay Out</t>
        </is>
      </c>
      <c r="D514" s="8" t="inlineStr">
        <is>
          <t>Evidencia</t>
        </is>
      </c>
      <c r="E514" s="8" t="inlineStr">
        <is>
          <t>collage_layouts_plaza_tepozan_Starbucks Plaza Tepo.png</t>
        </is>
      </c>
      <c r="F51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515" ht="21" customHeight="1">
      <c r="A515" s="15" t="inlineStr">
        <is>
          <t>38351</t>
        </is>
      </c>
      <c r="B515" s="12" t="inlineStr">
        <is>
          <t>Ciudad Jardin l</t>
        </is>
      </c>
      <c r="C515" s="12" t="inlineStr">
        <is>
          <t>Lay Out</t>
        </is>
      </c>
      <c r="D515" s="12" t="inlineStr">
        <is>
          <t>Evidencia</t>
        </is>
      </c>
      <c r="E515" s="12" t="inlineStr">
        <is>
          <t>94EC3CDE-6080-497D-BB28-B591958924E2_Thelma Edith Melende 1.png</t>
        </is>
      </c>
      <c r="F51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516" ht="21" customHeight="1">
      <c r="A516" s="17" t="inlineStr">
        <is>
          <t>38770</t>
        </is>
      </c>
      <c r="B516" s="8" t="inlineStr">
        <is>
          <t>Gustavo Baz 29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DCE3998D-8289-4330-B730-ED55D6A2A656_Starbucks Gustavo Ba.jpeg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517" ht="21" customHeight="1">
      <c r="A517" s="15" t="inlineStr">
        <is>
          <t>38176</t>
        </is>
      </c>
      <c r="B517" s="12" t="inlineStr">
        <is>
          <t>Periferico Satélite DT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WhatsApp Image 2026-09-20 at 8.13.27 PM_Starbucks DT Perifer.jpeg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518" ht="21" customHeight="1">
      <c r="A518" s="17" t="inlineStr">
        <is>
          <t>38339</t>
        </is>
      </c>
      <c r="B518" s="8" t="inlineStr">
        <is>
          <t>San Marcos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17898694453017719363453178036313_Starbucks San Marcos.jpg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19" ht="21" customHeight="1">
      <c r="A519" s="15" t="inlineStr">
        <is>
          <t>38339</t>
        </is>
      </c>
      <c r="B519" s="12" t="inlineStr">
        <is>
          <t>San Marcos</t>
        </is>
      </c>
      <c r="C519" s="12" t="inlineStr">
        <is>
          <t>Lay Out</t>
        </is>
      </c>
      <c r="D519" s="12" t="inlineStr">
        <is>
          <t>Evidencia</t>
        </is>
      </c>
      <c r="E519" s="12" t="inlineStr">
        <is>
          <t>17898690177589028917725967468681_Starbucks San Marcos.jpg</t>
        </is>
      </c>
      <c r="F51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20" ht="21" customHeight="1">
      <c r="A520" s="17" t="inlineStr">
        <is>
          <t>38401</t>
        </is>
      </c>
      <c r="B520" s="8" t="inlineStr">
        <is>
          <t>Coacalco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5342bc54-3a5b-437d-b97b-399058c7ca0c_Starbucks CC Coalcal.jpeg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21" ht="21" customHeight="1">
      <c r="A521" s="15" t="inlineStr">
        <is>
          <t>38515</t>
        </is>
      </c>
      <c r="B521" s="12" t="inlineStr">
        <is>
          <t>Patio Ecatepec</t>
        </is>
      </c>
      <c r="C521" s="12" t="inlineStr">
        <is>
          <t>Organización Refrigeradores Back</t>
        </is>
      </c>
      <c r="D521" s="12" t="inlineStr">
        <is>
          <t>Antes</t>
        </is>
      </c>
      <c r="E521" s="12" t="inlineStr">
        <is>
          <t>17898578066011103601279025610229_Starbucks Patio Ecat.jpg</t>
        </is>
      </c>
      <c r="F52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22" ht="21" customHeight="1">
      <c r="A522" s="17" t="inlineStr">
        <is>
          <t>38515</t>
        </is>
      </c>
      <c r="B522" s="8" t="inlineStr">
        <is>
          <t>Patio Ecatepec</t>
        </is>
      </c>
      <c r="C522" s="8" t="inlineStr">
        <is>
          <t>Organización Refrigeradores Back</t>
        </is>
      </c>
      <c r="D522" s="8" t="inlineStr">
        <is>
          <t>Después</t>
        </is>
      </c>
      <c r="E522" s="8" t="inlineStr">
        <is>
          <t>17898583584755546269641779007481_Starbucks Patio Ecat.jpg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23" ht="21" customHeight="1">
      <c r="A523" s="15" t="inlineStr">
        <is>
          <t>38333</t>
        </is>
      </c>
      <c r="B523" s="12" t="inlineStr">
        <is>
          <t>Izcalli Mega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IMG_8223_Starbucks Mega Izcal.jpeg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24" ht="21" customHeight="1">
      <c r="A524" s="17" t="inlineStr">
        <is>
          <t>38862</t>
        </is>
      </c>
      <c r="B524" s="8" t="inlineStr">
        <is>
          <t>San Miguel Izcalli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IMG_20260915_084807860_HDR_Starbucks San Miguel.jpg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25" ht="21" customHeight="1">
      <c r="A525" s="15" t="inlineStr">
        <is>
          <t>38458</t>
        </is>
      </c>
      <c r="B525" s="12" t="inlineStr">
        <is>
          <t>El Rosario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16E0A561-50F1-438C-86F0-F70E0E2910FB_Starbucks El Rosario.jpeg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26" ht="21" customHeight="1">
      <c r="A526" s="17" t="inlineStr">
        <is>
          <t>38561</t>
        </is>
      </c>
      <c r="B526" s="8" t="inlineStr">
        <is>
          <t>Parque Toreo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17894440988043570746312247014305_Sergio Daniel Parra.jpg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27" ht="21" customHeight="1">
      <c r="A527" s="15" t="inlineStr">
        <is>
          <t>38894</t>
        </is>
      </c>
      <c r="B527" s="12" t="inlineStr">
        <is>
          <t>Galerias Perinorte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image_Starbucks Galerias P.jpg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28" ht="21" customHeight="1">
      <c r="A528" s="17" t="inlineStr">
        <is>
          <t>38606</t>
        </is>
      </c>
      <c r="B528" s="8" t="inlineStr">
        <is>
          <t>TlalnepantlaCarso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IMG_2968_Starbucks Tlalnepant.jpeg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29" ht="21" customHeight="1">
      <c r="A529" s="15" t="inlineStr">
        <is>
          <t>38197</t>
        </is>
      </c>
      <c r="B529" s="12" t="inlineStr">
        <is>
          <t>Echegaray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88602217-3b47-41c4-8327-3737ba7d5f5d_Starbucks Echegaray.jpeg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30" ht="21" customHeight="1">
      <c r="A530" s="17" t="inlineStr">
        <is>
          <t>38475</t>
        </is>
      </c>
      <c r="B530" s="8" t="inlineStr">
        <is>
          <t>Satelite Centro Civico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17894103186815180756369685527455_Starbucks Satélite C.jpg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531" ht="21" customHeight="1">
      <c r="A531" s="15" t="inlineStr">
        <is>
          <t>38456</t>
        </is>
      </c>
      <c r="B531" s="12" t="inlineStr">
        <is>
          <t>Plaza las Flores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17894098786624170437606810729851_Ramon Espinosa Macia.jpg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532" ht="21" customHeight="1">
      <c r="A532" s="17" t="inlineStr">
        <is>
          <t>38186</t>
        </is>
      </c>
      <c r="B532" s="8" t="inlineStr">
        <is>
          <t>Arboledas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Arboledas.jpg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533" ht="21" customHeight="1">
      <c r="A533" s="15" t="inlineStr">
        <is>
          <t>38386</t>
        </is>
      </c>
      <c r="B533" s="12" t="inlineStr">
        <is>
          <t>Duraznos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IMG-20260912-WA0002_Starbucks Parque Dur.jpg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534" ht="21" customHeight="1">
      <c r="A534" s="17" t="inlineStr">
        <is>
          <t>38727</t>
        </is>
      </c>
      <c r="B534" s="8" t="inlineStr">
        <is>
          <t>Centro Tk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b78876df-36ce-4085-a680-6177919ca771_Carlos Rodriguez Mor.jpeg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535" ht="21" customHeight="1">
      <c r="A535" s="15" t="inlineStr">
        <is>
          <t>38499</t>
        </is>
      </c>
      <c r="B535" s="12" t="inlineStr">
        <is>
          <t>Pennsylvania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image_Maria Fernanda Migue.jpg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536" ht="21" customHeight="1">
      <c r="A536" s="17" t="inlineStr">
        <is>
          <t>38103</t>
        </is>
      </c>
      <c r="B536" s="8" t="inlineStr">
        <is>
          <t>Aguilas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17891757480322115482528748859301_Starbucks Aguilas.jpg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7" ht="21" customHeight="1">
      <c r="A537" s="15" t="inlineStr">
        <is>
          <t>38692</t>
        </is>
      </c>
      <c r="B537" s="12" t="inlineStr">
        <is>
          <t>Plaza Exhibimex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IMG_0485_Starbucks Plaza Exhi.jpeg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38" ht="21" customHeight="1">
      <c r="A538" s="17" t="inlineStr">
        <is>
          <t>38896</t>
        </is>
      </c>
      <c r="B538" s="8" t="inlineStr">
        <is>
          <t>Paseo Tollocan DT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Paseo Toll.jpg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9" ht="21" customHeight="1">
      <c r="A539" s="15" t="inlineStr">
        <is>
          <t>38847</t>
        </is>
      </c>
      <c r="B539" s="12" t="inlineStr">
        <is>
          <t>El Molino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1789162797581621059248875744315_Starbucks El Molino.jpg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40" ht="21" customHeight="1">
      <c r="A540" s="17" t="inlineStr">
        <is>
          <t>38633</t>
        </is>
      </c>
      <c r="B540" s="8" t="inlineStr">
        <is>
          <t>Carretera Toluca Mexico (plaza cedros DT)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1789160075772690215916016973008_Roberto Martinez Ava.jpg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41" ht="21" customHeight="1">
      <c r="A541" s="15" t="inlineStr">
        <is>
          <t>38957</t>
        </is>
      </c>
      <c r="B541" s="12" t="inlineStr">
        <is>
          <t>Avándaro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IMG_20260911_134342556_HDR_Starbucks Avandaro.jpg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42" ht="21" customHeight="1">
      <c r="A542" s="17" t="inlineStr">
        <is>
          <t>38150</t>
        </is>
      </c>
      <c r="B542" s="8" t="inlineStr">
        <is>
          <t>Santa Fe 2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image_Starbucks Ford Santa.jpg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543" ht="21" customHeight="1">
      <c r="A543" s="15" t="inlineStr">
        <is>
          <t>38587</t>
        </is>
      </c>
      <c r="B543" s="12" t="inlineStr">
        <is>
          <t>Plateros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17891548823645550132900060579449_Starbucks Plateros.jpg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544" ht="21" customHeight="1">
      <c r="A544" s="17" t="inlineStr">
        <is>
          <t>38361</t>
        </is>
      </c>
      <c r="B544" s="8" t="inlineStr">
        <is>
          <t>Castorena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image_Starbucks Castorena.jpg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45" ht="21" customHeight="1">
      <c r="A545" s="15" t="inlineStr">
        <is>
          <t>38749</t>
        </is>
      </c>
      <c r="B545" s="12" t="inlineStr">
        <is>
          <t>Patio Santa Fe 2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17891533944206074033995426152966_Starbucks PATIO SANT.jpg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46" ht="21" customHeight="1">
      <c r="A546" s="17" t="inlineStr">
        <is>
          <t>38578</t>
        </is>
      </c>
      <c r="B546" s="8" t="inlineStr">
        <is>
          <t>Galerias Toluca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3b0fab7e-3218-44ae-afb5-aac017f62aa5_Starbucks Galerias T.jpeg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47" ht="21" customHeight="1">
      <c r="A547" s="15" t="inlineStr">
        <is>
          <t>38607</t>
        </is>
      </c>
      <c r="B547" s="12" t="inlineStr">
        <is>
          <t>Carretera Mexico Toluca KM42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17891527872382285835886532009864_Starbucks México-Tol.jpg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48" ht="21" customHeight="1">
      <c r="A548" s="17" t="inlineStr">
        <is>
          <t>38704</t>
        </is>
      </c>
      <c r="B548" s="8" t="inlineStr">
        <is>
          <t>Corportivo Banamex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IMG-20260911-WA0045_Jaqueline Viridiana.jpg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49" ht="21" customHeight="1">
      <c r="A549" s="15" t="inlineStr">
        <is>
          <t>38390</t>
        </is>
      </c>
      <c r="B549" s="12" t="inlineStr">
        <is>
          <t>Samara 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17891518600363903328021306956347_Starbucks Samara.jpg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50" ht="21" customHeight="1">
      <c r="A550" s="17" t="inlineStr">
        <is>
          <t>38319</t>
        </is>
      </c>
      <c r="B550" s="8" t="inlineStr">
        <is>
          <t>Tecnologico Metepec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Tecnologic.jpg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51" ht="21" customHeight="1">
      <c r="A551" s="15" t="inlineStr">
        <is>
          <t>38987</t>
        </is>
      </c>
      <c r="B551" s="12" t="inlineStr">
        <is>
          <t>Punta Zero Calimaya DT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Punta Zero.jpg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2" ht="21" customHeight="1">
      <c r="A552" s="17" t="inlineStr">
        <is>
          <t>38193</t>
        </is>
      </c>
      <c r="B552" s="8" t="inlineStr">
        <is>
          <t>Metropoli Patriotismo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3bacf93e-9eca-4679-9f2d-920e1b37f5c4_Starbucks Metropoli.jpeg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53" ht="21" customHeight="1">
      <c r="A553" s="15" t="inlineStr">
        <is>
          <t>38747</t>
        </is>
      </c>
      <c r="B553" s="12" t="inlineStr">
        <is>
          <t>Centro Comercial Santa Fe 3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image_Melisa Moran Viveros.jpg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54" ht="21" customHeight="1">
      <c r="A554" s="17" t="inlineStr">
        <is>
          <t>38751</t>
        </is>
      </c>
      <c r="B554" s="8" t="inlineStr">
        <is>
          <t>Torre Zentrrum II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17891495890518840407956162909619_Starbucks TORRE ZENT.jpg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55" ht="21" customHeight="1">
      <c r="A555" s="15" t="inlineStr">
        <is>
          <t>38668</t>
        </is>
      </c>
      <c r="B555" s="12" t="inlineStr">
        <is>
          <t>Pabellon Metepec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IMG_2724_Starbucks Pabellón M.jpeg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56" ht="21" customHeight="1">
      <c r="A556" s="17" t="inlineStr">
        <is>
          <t>38773</t>
        </is>
      </c>
      <c r="B556" s="8" t="inlineStr">
        <is>
          <t>Colegio Americano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image_Naomi Arlene Orozco.jpg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57" ht="21" customHeight="1">
      <c r="A557" s="15" t="inlineStr">
        <is>
          <t>38829</t>
        </is>
      </c>
      <c r="B557" s="12" t="inlineStr">
        <is>
          <t>Outlet Lerma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IMG20260911115238_Starbucks Outlet Ler.jpg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58" ht="21" customHeight="1">
      <c r="A558" s="17" t="inlineStr">
        <is>
          <t>38508</t>
        </is>
      </c>
      <c r="B558" s="8" t="inlineStr">
        <is>
          <t>Ampliacion Santa Fe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17891490540425193622196681639535_Starbucks Ampliación.jpg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59" ht="21" customHeight="1">
      <c r="A559" s="15" t="inlineStr">
        <is>
          <t>38441</t>
        </is>
      </c>
      <c r="B559" s="12" t="inlineStr">
        <is>
          <t>Metepec Plaza del Parque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f02dd0f0-5cfc-4765-8dee-2f6e56cc3966_Starbucks Metepec Pl 1.jpeg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60" ht="21" customHeight="1">
      <c r="A560" s="17" t="inlineStr">
        <is>
          <t>38372</t>
        </is>
      </c>
      <c r="B560" s="8" t="inlineStr">
        <is>
          <t>Felix Cuevas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17891487858866049755553381461545_Starbucks Felix Cuev.jpg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61" ht="21" customHeight="1">
      <c r="A561" s="15" t="inlineStr">
        <is>
          <t>43011</t>
        </is>
      </c>
      <c r="B561" s="12" t="inlineStr">
        <is>
          <t>Carr Toluca-Atlacomulco DT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Carretera.jpg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62" ht="21" customHeight="1">
      <c r="A562" s="17" t="inlineStr">
        <is>
          <t>38810</t>
        </is>
      </c>
      <c r="B562" s="8" t="inlineStr">
        <is>
          <t>Plaza Centenario ( Tenaria)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51182c38-a448-4e8d-94b5-fcc391a86209_Starbucks Plaza Cent.jpeg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63" ht="21" customHeight="1">
      <c r="A563" s="15" t="inlineStr">
        <is>
          <t>38715</t>
        </is>
      </c>
      <c r="B563" s="12" t="inlineStr">
        <is>
          <t>Av. Coyoacan DT only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17891484849447686090618664226870_Starbucks Av Coyoaca.jpg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64" ht="21" customHeight="1">
      <c r="A564" s="17" t="inlineStr">
        <is>
          <t>38530</t>
        </is>
      </c>
      <c r="B564" s="8" t="inlineStr">
        <is>
          <t>Narvarte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68de3cea-5d8e-4bc0-8be6-fac972f096a9_Diana Patricia Arias.jpeg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65" ht="21" customHeight="1">
      <c r="A565" s="15" t="inlineStr">
        <is>
          <t>43147</t>
        </is>
      </c>
      <c r="B565" s="12" t="inlineStr">
        <is>
          <t>Juarez 70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image_Cassandra Victoria F.jpg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66" ht="21" customHeight="1">
      <c r="A566" s="17" t="inlineStr">
        <is>
          <t>43142</t>
        </is>
      </c>
      <c r="B566" s="8" t="inlineStr">
        <is>
          <t>Montes Urales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201e0550-6732-4c0b-99a0-3f08ae95a6a5_Starbucks Montes Ura.jpeg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67" ht="21" customHeight="1">
      <c r="A567" s="15" t="inlineStr">
        <is>
          <t>38549</t>
        </is>
      </c>
      <c r="B567" s="12" t="inlineStr">
        <is>
          <t>Galerias Insurgentes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03dfe0a9-ab71-471c-9f7c-f669e6d40145_Sharon Marely Piedra.jpeg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68" ht="21" customHeight="1">
      <c r="A568" s="17" t="inlineStr">
        <is>
          <t>38400</t>
        </is>
      </c>
      <c r="B568" s="8" t="inlineStr">
        <is>
          <t>Centro Medico ABC Santa Fe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17891477615931573389281316092983_Starbucks Centro Méd.jpg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69" ht="21" customHeight="1">
      <c r="A569" s="15" t="inlineStr">
        <is>
          <t>43105</t>
        </is>
      </c>
      <c r="B569" s="12" t="inlineStr">
        <is>
          <t>Insurgentes Capital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WhatsApp Image 2026-09-11 at 11.14.49_Ana Katherina Velazq.jpeg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70" ht="21" customHeight="1">
      <c r="A570" s="17" t="inlineStr">
        <is>
          <t>38769</t>
        </is>
      </c>
      <c r="B570" s="8" t="inlineStr">
        <is>
          <t>Patio Toluca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image_Starbucks Patio Tolu.jpg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71" ht="21" customHeight="1">
      <c r="A571" s="15" t="inlineStr">
        <is>
          <t>38717</t>
        </is>
      </c>
      <c r="B571" s="12" t="inlineStr">
        <is>
          <t>Av Revolucion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978863c9-7393-4493-bdb8-b2b7142e38e3_Maria Teresa Espinoz.jpeg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72" ht="21" customHeight="1">
      <c r="A572" s="17" t="inlineStr">
        <is>
          <t>38617</t>
        </is>
      </c>
      <c r="B572" s="8" t="inlineStr">
        <is>
          <t>Axomiatla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image_Starbucks Axomiatla.jpg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73" ht="21" customHeight="1">
      <c r="A573" s="15" t="inlineStr">
        <is>
          <t>38117</t>
        </is>
      </c>
      <c r="B573" s="12" t="inlineStr">
        <is>
          <t>Satelite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8f52f589-d349-40ed-8988-aa0965929338_Starbucks Satelite.jpeg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74" ht="21" customHeight="1">
      <c r="A574" s="17" t="inlineStr">
        <is>
          <t>38148</t>
        </is>
      </c>
      <c r="B574" s="8" t="inlineStr">
        <is>
          <t>Centro Comercial Santa Fe 1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17891471261965215803384650122700_Starbucks Centro Com.jpg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75" ht="21" customHeight="1">
      <c r="A575" s="15" t="inlineStr">
        <is>
          <t>38233</t>
        </is>
      </c>
      <c r="B575" s="12" t="inlineStr">
        <is>
          <t>Toluca Colon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45d13dfb-8534-443b-b50d-4597cc831776_Jorge Humberto Rojas.jpeg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76" ht="21" customHeight="1">
      <c r="A576" s="17" t="inlineStr">
        <is>
          <t>43058</t>
        </is>
      </c>
      <c r="B576" s="8" t="inlineStr">
        <is>
          <t>Casa de Gobierno DT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1789146696974620872336528797371_Starbucks Colón Casa.jpg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77" ht="21" customHeight="1">
      <c r="A577" s="15" t="inlineStr">
        <is>
          <t>38929</t>
        </is>
      </c>
      <c r="B577" s="12" t="inlineStr">
        <is>
          <t>Aeropuerto Toluca AMB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image_Starbucks Apto Toluc.jpg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78" ht="21" customHeight="1">
      <c r="A578" s="17" t="inlineStr">
        <is>
          <t>38644</t>
        </is>
      </c>
      <c r="B578" s="8" t="inlineStr">
        <is>
          <t>Torre Virreyes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17891464434056746458223120183687_Starbucks Torre Virr.jpg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79" ht="21" customHeight="1">
      <c r="A579" s="15" t="inlineStr">
        <is>
          <t>38755</t>
        </is>
      </c>
      <c r="B579" s="12" t="inlineStr">
        <is>
          <t>Corporativo Santander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b5550aef-ef95-42a5-87b7-48dad9f3ad22_Starbucks Corporativ.jpeg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80" ht="21" customHeight="1">
      <c r="A580" s="17" t="inlineStr">
        <is>
          <t>38532</t>
        </is>
      </c>
      <c r="B580" s="8" t="inlineStr">
        <is>
          <t>One o One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image_Jesús Alberto Alquic.jpg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81" ht="21" customHeight="1">
      <c r="A581" s="15" t="inlineStr">
        <is>
          <t>38166</t>
        </is>
      </c>
      <c r="B581" s="12" t="inlineStr">
        <is>
          <t>Superama SantaFe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image_Starbucks Superama S.jpg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82" ht="21" customHeight="1">
      <c r="A582" s="17" t="inlineStr">
        <is>
          <t>38189</t>
        </is>
      </c>
      <c r="B582" s="8" t="inlineStr">
        <is>
          <t>Santa Fe Imax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IMG-20260911-WA0035_Starbucks Santa Fe I.jpg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83" ht="21" customHeight="1">
      <c r="A583" s="15" t="inlineStr">
        <is>
          <t>38416</t>
        </is>
      </c>
      <c r="B583" s="12" t="inlineStr">
        <is>
          <t>Mixcoac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d6478724-30e8-4031-a680-4bed81089e3e_Heidi Laura Garcia G.jpeg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84" ht="21" customHeight="1">
      <c r="A584" s="17" t="inlineStr">
        <is>
          <t>43059</t>
        </is>
      </c>
      <c r="B584" s="8" t="inlineStr">
        <is>
          <t>La Providencia DT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17891458560185071902259446244511_Starbucks La Provide.jpg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5" ht="21" customHeight="1">
      <c r="A585" s="15" t="inlineStr">
        <is>
          <t>38777</t>
        </is>
      </c>
      <c r="B585" s="12" t="inlineStr">
        <is>
          <t>Parque la Mexicana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image_Starbucks Parque la.jpg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86" ht="21" customHeight="1">
      <c r="A586" s="17" t="inlineStr">
        <is>
          <t>38158</t>
        </is>
      </c>
      <c r="B586" s="8" t="inlineStr">
        <is>
          <t>Plaza Lilas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1424eee3-897a-4119-99da-2a072368f0ac_Starbucks Plaza Lila.jpeg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87" ht="21" customHeight="1">
      <c r="A587" s="15" t="inlineStr">
        <is>
          <t>38780</t>
        </is>
      </c>
      <c r="B587" s="12" t="inlineStr">
        <is>
          <t>Tec Santa Fe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17891457579454371302471952671937_Starbucks TEC SANTA.jpg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88" ht="21" customHeight="1">
      <c r="A588" s="17" t="inlineStr">
        <is>
          <t>38798</t>
        </is>
      </c>
      <c r="B588" s="8" t="inlineStr">
        <is>
          <t>Corp. Televisa Sta Fe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17891456981812662335160434415794_Jose Alejandro Cárde.jpg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89" ht="21" customHeight="1">
      <c r="A589" s="15" t="inlineStr">
        <is>
          <t>43162</t>
        </is>
      </c>
      <c r="B589" s="12" t="inlineStr">
        <is>
          <t>Apto Toluca SUE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IMG_1565_Starbucks Apto Toluc.jpeg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90" ht="21" customHeight="1">
      <c r="A590" s="17" t="inlineStr">
        <is>
          <t>38951</t>
        </is>
      </c>
      <c r="B590" s="8" t="inlineStr">
        <is>
          <t>Universidad Panamericana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17891454523977582754072023932885_Starbucks Universida.jpg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91" ht="21" customHeight="1">
      <c r="A591" s="15" t="inlineStr">
        <is>
          <t>38227</t>
        </is>
      </c>
      <c r="B591" s="12" t="inlineStr">
        <is>
          <t>Lomas Plaza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17891450105013340269761926142251_Starbucks Lomas Plaz.jpg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92" ht="21" customHeight="1">
      <c r="A592" s="17" t="inlineStr">
        <is>
          <t>38730</t>
        </is>
      </c>
      <c r="B592" s="8" t="inlineStr">
        <is>
          <t>Manacar PB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IMG_0550_Starbucks Manacar PB.jpeg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3" ht="21" customHeight="1">
      <c r="A593" s="15" t="inlineStr">
        <is>
          <t>38452</t>
        </is>
      </c>
      <c r="B593" s="12" t="inlineStr">
        <is>
          <t>Parque Interlomas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743dc6cd-2b48-47f6-8758-ac5f8887a000_Moises Garcia Santos.jpeg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94" ht="21" customHeight="1">
      <c r="A594" s="17" t="inlineStr">
        <is>
          <t>43041</t>
        </is>
      </c>
      <c r="B594" s="8" t="inlineStr">
        <is>
          <t>Parque Aztlan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image_Eduardo Hernandez Pe.jpg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95" ht="21" customHeight="1">
      <c r="A595" s="15" t="inlineStr">
        <is>
          <t>38722</t>
        </is>
      </c>
      <c r="B595" s="12" t="inlineStr">
        <is>
          <t>Patio Barranca N2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17891443650005481224244539957154_Starbucks Portal San.jpg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96" ht="21" customHeight="1">
      <c r="A596" s="17" t="inlineStr">
        <is>
          <t>38534</t>
        </is>
      </c>
      <c r="B596" s="8" t="inlineStr">
        <is>
          <t>Patio Santa Fe 1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17891443446617677037221249146333_Monica Luisa Baltaza.jpg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97" ht="21" customHeight="1">
      <c r="A597" s="15" t="inlineStr">
        <is>
          <t>38438</t>
        </is>
      </c>
      <c r="B597" s="12" t="inlineStr">
        <is>
          <t>City Walk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e0baec14-0005-4014-bb58-1d155b133fbe_Starbucks City Walk.jpeg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98" ht="21" customHeight="1">
      <c r="A598" s="17" t="inlineStr">
        <is>
          <t>38106</t>
        </is>
      </c>
      <c r="B598" s="8" t="inlineStr">
        <is>
          <t>Prado Norte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image_Starbucks Prado Nort.jpg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99" ht="21" customHeight="1">
      <c r="A599" s="15" t="inlineStr">
        <is>
          <t>38646</t>
        </is>
      </c>
      <c r="B599" s="12" t="inlineStr">
        <is>
          <t>Carracci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17891289060857418363167355556294_Luis Javer Romo de V.jpg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600" ht="21" customHeight="1">
      <c r="A600" s="17" t="inlineStr">
        <is>
          <t>38568</t>
        </is>
      </c>
      <c r="B600" s="8" t="inlineStr">
        <is>
          <t>Av Stim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17890918167577646536806356657923_Starbucks Av Stim.jpg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01" ht="21" customHeight="1">
      <c r="A601" s="15" t="inlineStr">
        <is>
          <t>38188</t>
        </is>
      </c>
      <c r="B601" s="12" t="inlineStr">
        <is>
          <t>Palmas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WhatsApp Image 2026-09-10 at 18.54.34_Laura Gonzalez Saave.jpeg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02" ht="21" customHeight="1">
      <c r="A602" s="17" t="inlineStr">
        <is>
          <t>38954</t>
        </is>
      </c>
      <c r="B602" s="8" t="inlineStr">
        <is>
          <t>Universidad Anahuac Campus Sur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image_Starbucks Universida.jpg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03" ht="21" customHeight="1">
      <c r="A603" s="15" t="inlineStr">
        <is>
          <t>38414</t>
        </is>
      </c>
      <c r="B603" s="12" t="inlineStr">
        <is>
          <t>Park Plaza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9d66428d-428a-47eb-9662-764d3644e5bc_Francisco De Jesus C.jpeg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04" ht="21" customHeight="1">
      <c r="A604" s="17" t="inlineStr">
        <is>
          <t>38538</t>
        </is>
      </c>
      <c r="B604" s="8" t="inlineStr">
        <is>
          <t>Monte Pelvoux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image_Starbucks Monte Pelv.jpg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05" ht="21" customHeight="1">
      <c r="A605" s="15" t="inlineStr">
        <is>
          <t>38112</t>
        </is>
      </c>
      <c r="B605" s="12" t="inlineStr">
        <is>
          <t>Insurgentes Parroquia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IMG_20260910_175237_Starbucks Parroquia.jpg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606" ht="21" customHeight="1">
      <c r="A606" s="17" t="inlineStr">
        <is>
          <t>38185</t>
        </is>
      </c>
      <c r="B606" s="8" t="inlineStr">
        <is>
          <t>Magnocentro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jarras_Starbucks Magnocentr.jpg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07" ht="21" customHeight="1">
      <c r="A607" s="15" t="inlineStr">
        <is>
          <t>38485</t>
        </is>
      </c>
      <c r="B607" s="12" t="inlineStr">
        <is>
          <t>Sendero Toluca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1789081729299746731757466114503_Starbucks Sendero To.jpg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08" ht="21" customHeight="1">
      <c r="A608" s="17" t="inlineStr">
        <is>
          <t>38799</t>
        </is>
      </c>
      <c r="B608" s="8" t="inlineStr">
        <is>
          <t>Paseo Interlomas III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17890816102755265318990470575210_Starbucks Paseo Inte.jpg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9" ht="21" customHeight="1">
      <c r="A609" s="15" t="inlineStr">
        <is>
          <t>43107</t>
        </is>
      </c>
      <c r="B609" s="12" t="inlineStr">
        <is>
          <t>Pabellón Bosques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IMG_7022_Alison Ariadna De La.jpeg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10" ht="21" customHeight="1">
      <c r="A610" s="17" t="inlineStr">
        <is>
          <t>38466</t>
        </is>
      </c>
      <c r="B610" s="8" t="inlineStr">
        <is>
          <t>Paseo Interlomas I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image_Monserrat Soriano Es.jpg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11" ht="21" customHeight="1">
      <c r="A611" s="15" t="inlineStr">
        <is>
          <t>38179</t>
        </is>
      </c>
      <c r="B611" s="12" t="inlineStr">
        <is>
          <t>Universidad Anáhuac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17890806432661412731394071096776_Starbucks Universida.jpg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2" ht="21" customHeight="1">
      <c r="A612" s="17" t="inlineStr">
        <is>
          <t>38445</t>
        </is>
      </c>
      <c r="B612" s="8" t="inlineStr">
        <is>
          <t>Samara II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image_Starbucks CC Samara.jpg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613" ht="21" customHeight="1">
      <c r="A613" s="15" t="inlineStr">
        <is>
          <t>38439</t>
        </is>
      </c>
      <c r="B613" s="12" t="inlineStr">
        <is>
          <t>Ángeles Interlomas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17890799629012418616368564720381_Starbucks Angeles In.jpg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14" ht="21" customHeight="1">
      <c r="A614" s="17" t="inlineStr">
        <is>
          <t>38918</t>
        </is>
      </c>
      <c r="B614" s="8" t="inlineStr">
        <is>
          <t>Bosque Real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IMG-20260910-WA0005_Starbucks Bosque Rea.jpeg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15" ht="21" customHeight="1">
      <c r="A615" s="15" t="inlineStr">
        <is>
          <t>38121</t>
        </is>
      </c>
      <c r="B615" s="12" t="inlineStr">
        <is>
          <t>Herradura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17890790939377071165929558693206_Fernando Axel Velasc.jpg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16" ht="21" customHeight="1">
      <c r="A616" s="17" t="inlineStr">
        <is>
          <t>38553</t>
        </is>
      </c>
      <c r="B616" s="8" t="inlineStr">
        <is>
          <t>Paseo Interlomas II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image_Monica Lizeth Carreñ.jpg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17" ht="21" customHeight="1">
      <c r="A617" s="15" t="inlineStr">
        <is>
          <t>38547</t>
        </is>
      </c>
      <c r="B617" s="12" t="inlineStr">
        <is>
          <t>Carr Toluca Mexico KM48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image_Starbucks Carr Toluc.jpg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18" ht="21" customHeight="1">
      <c r="A618" s="17" t="inlineStr">
        <is>
          <t>38709</t>
        </is>
      </c>
      <c r="B618" s="8" t="inlineStr">
        <is>
          <t>Corporativo Barranca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IMG-20260910-WA0143_Starbucks Corporativ.jpg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19" ht="21" customHeight="1">
      <c r="A619" s="15" t="inlineStr">
        <is>
          <t>38764</t>
        </is>
      </c>
      <c r="B619" s="12" t="inlineStr">
        <is>
          <t>Star Medica Napoles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1789078364796937074771383309557_Starbucks Medica Nap.jpg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20" ht="21" customHeight="1">
      <c r="A620" s="17" t="inlineStr">
        <is>
          <t>38746</t>
        </is>
      </c>
      <c r="B620" s="8" t="inlineStr">
        <is>
          <t>Arcos Bosques II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image_Alberto Medina Magda.jpg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21" ht="21" customHeight="1">
      <c r="A621" s="15" t="inlineStr">
        <is>
          <t>38122</t>
        </is>
      </c>
      <c r="B621" s="12" t="inlineStr">
        <is>
          <t>Santa Fe</t>
        </is>
      </c>
      <c r="C621" s="12" t="inlineStr">
        <is>
          <t>Jarras Blender | Cold Foam</t>
        </is>
      </c>
      <c r="D621" s="12" t="inlineStr">
        <is>
          <t>Evidencia</t>
        </is>
      </c>
      <c r="E621" s="12" t="inlineStr">
        <is>
          <t>image_Starbucks Santa Fe.jpg</t>
        </is>
      </c>
      <c r="F62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22" ht="21" customHeight="1">
      <c r="A622" s="17" t="inlineStr">
        <is>
          <t>38366</t>
        </is>
      </c>
      <c r="B622" s="8" t="inlineStr">
        <is>
          <t>Hospital ABC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17890779419685586202685537762_Starbucks Hospital A.jpg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23" ht="21" customHeight="1">
      <c r="A623" s="15" t="inlineStr">
        <is>
          <t>38292</t>
        </is>
      </c>
      <c r="B623" s="12" t="inlineStr">
        <is>
          <t>Jesús del Monte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17890778184532045965930032790920_Starbucks Jesus Del.jpg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24" ht="21" customHeight="1">
      <c r="A624" s="17" t="inlineStr">
        <is>
          <t>38141</t>
        </is>
      </c>
      <c r="B624" s="8" t="inlineStr">
        <is>
          <t>Plaza Mayor Metepec</t>
        </is>
      </c>
      <c r="C624" s="8" t="inlineStr">
        <is>
          <t>Jarras Blender | Cold Foam</t>
        </is>
      </c>
      <c r="D624" s="8" t="inlineStr">
        <is>
          <t>Evidencia</t>
        </is>
      </c>
      <c r="E624" s="8" t="inlineStr">
        <is>
          <t>17890777852936622410369843650067_Starbucks Plaza Mayo.jpg</t>
        </is>
      </c>
      <c r="F62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5" ht="21" customHeight="1">
      <c r="A625" s="15" t="inlineStr">
        <is>
          <t>43068</t>
        </is>
      </c>
      <c r="B625" s="12" t="inlineStr">
        <is>
          <t>Galerias Metepec II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IMG-20260910-WA0086_Francisco Manuel Gon.jpg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26" ht="21" customHeight="1">
      <c r="A626" s="17" t="inlineStr">
        <is>
          <t>38815</t>
        </is>
      </c>
      <c r="B626" s="8" t="inlineStr">
        <is>
          <t>Central Interlomas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IMG-20260910-WA0038_Starbucks Central In.jpg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27" ht="21" customHeight="1">
      <c r="A627" s="15" t="inlineStr">
        <is>
          <t>38225</t>
        </is>
      </c>
      <c r="B627" s="12" t="inlineStr">
        <is>
          <t>Centro Comercial Santa Fe 2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17890773974875332894614468936668_Miriam Catharine Lop.jpg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28" ht="21" customHeight="1">
      <c r="A628" s="17" t="inlineStr">
        <is>
          <t>38461</t>
        </is>
      </c>
      <c r="B628" s="8" t="inlineStr">
        <is>
          <t>Fuente de Tritones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17890771429977242503454425821765_Starbucks Fuente de.jpg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29" ht="21" customHeight="1">
      <c r="A629" s="15" t="inlineStr">
        <is>
          <t>38720</t>
        </is>
      </c>
      <c r="B629" s="12" t="inlineStr">
        <is>
          <t>Patio Barranca PB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IMG_20260910_155344172_HDR_Starbucks Portal San.jpg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30" ht="21" customHeight="1">
      <c r="A630" s="17" t="inlineStr">
        <is>
          <t>38512</t>
        </is>
      </c>
      <c r="B630" s="8" t="inlineStr">
        <is>
          <t>Garden Santa Fe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17890772462346347401907392982370_Starbucks Garden San.jpg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631" ht="21" customHeight="1">
      <c r="A631" s="15" t="inlineStr">
        <is>
          <t>38695</t>
        </is>
      </c>
      <c r="B631" s="12" t="inlineStr">
        <is>
          <t>Cetram 4 Caminos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1d4f59e7-23b4-41cc-97f4-4bff4f454fb1_Starbucks CEMTRAM 4.jpeg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632" ht="21" customHeight="1">
      <c r="A632" s="17" t="inlineStr">
        <is>
          <t>38859</t>
        </is>
      </c>
      <c r="B632" s="8" t="inlineStr">
        <is>
          <t>Plaza Satelite II N1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image_Starbucks Plaza Sate.jpg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633" ht="21" customHeight="1">
      <c r="A633" s="15" t="inlineStr">
        <is>
          <t>38368</t>
        </is>
      </c>
      <c r="B633" s="12" t="inlineStr">
        <is>
          <t>Luna Park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17890002429465249863001798263915_Starbucks Luna Park.jpg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634" ht="21" customHeight="1">
      <c r="A634" s="17" t="inlineStr">
        <is>
          <t>43193</t>
        </is>
      </c>
      <c r="B634" s="8" t="inlineStr">
        <is>
          <t>Cosmopol N1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IMG_9420_Luis Javier Perez Mo.jpeg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635" ht="21" customHeight="1">
      <c r="A635" s="15" t="inlineStr">
        <is>
          <t>38604</t>
        </is>
      </c>
      <c r="B635" s="12" t="inlineStr">
        <is>
          <t>Cosmopol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image_Starbucks Cosmopol.jpg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36" ht="21" customHeight="1">
      <c r="A636" s="17" t="inlineStr">
        <is>
          <t>38371</t>
        </is>
      </c>
      <c r="B636" s="8" t="inlineStr">
        <is>
          <t>Montevideo DT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ChatGPT Image 9 sept 2026, 17_05_47_Enrique Cesar Flores.png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63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38695</t>
        </is>
      </c>
      <c r="B21" s="12" t="inlineStr">
        <is>
          <t>Cetram 4 Caminos</t>
        </is>
      </c>
      <c r="C21" s="12" t="inlineStr">
        <is>
          <t>Yazmin Chabela Guadarrama</t>
        </is>
      </c>
      <c r="D21" s="11" t="n">
        <v>3</v>
      </c>
      <c r="E21" s="11" t="n">
        <v>1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" ht="21" customHeight="1">
      <c r="A22" s="17" t="inlineStr">
        <is>
          <t>38197</t>
        </is>
      </c>
      <c r="B22" s="8" t="inlineStr">
        <is>
          <t>Echegaray</t>
        </is>
      </c>
      <c r="C22" s="8" t="inlineStr">
        <is>
          <t>Yazmin Chabela Guadarrama</t>
        </is>
      </c>
      <c r="D22" s="7" t="n">
        <v>3</v>
      </c>
      <c r="E22" s="7" t="n">
        <v>2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3" ht="21" customHeight="1">
      <c r="A23" s="15" t="inlineStr">
        <is>
          <t>38458</t>
        </is>
      </c>
      <c r="B23" s="12" t="inlineStr">
        <is>
          <t>El Rosario</t>
        </is>
      </c>
      <c r="C23" s="12" t="inlineStr">
        <is>
          <t>Yazmin Chabela Guadarrama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4" ht="21" customHeight="1">
      <c r="A24" s="17" t="inlineStr">
        <is>
          <t>38770</t>
        </is>
      </c>
      <c r="B24" s="8" t="inlineStr">
        <is>
          <t>Gustavo Baz 29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5" ht="21" customHeight="1">
      <c r="A25" s="15" t="inlineStr">
        <is>
          <t>38561</t>
        </is>
      </c>
      <c r="B25" s="12" t="inlineStr">
        <is>
          <t>Parque Toreo</t>
        </is>
      </c>
      <c r="C25" s="12" t="inlineStr">
        <is>
          <t>Yazmin Chabela Guadarrama</t>
        </is>
      </c>
      <c r="D25" s="11" t="n">
        <v>4</v>
      </c>
      <c r="E25" s="11" t="n">
        <v>1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6" ht="21" customHeight="1">
      <c r="A26" s="17" t="inlineStr">
        <is>
          <t>38590</t>
        </is>
      </c>
      <c r="B26" s="8" t="inlineStr">
        <is>
          <t>Parque Toreo II</t>
        </is>
      </c>
      <c r="C26" s="8" t="inlineStr">
        <is>
          <t>Yazmin Chabela Guadarrama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7" ht="21" customHeight="1">
      <c r="A27" s="15" t="inlineStr">
        <is>
          <t>38176</t>
        </is>
      </c>
      <c r="B27" s="12" t="inlineStr">
        <is>
          <t>Periferico Satélite DT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8" ht="21" customHeight="1">
      <c r="A28" s="17" t="inlineStr">
        <is>
          <t>38859</t>
        </is>
      </c>
      <c r="B28" s="8" t="inlineStr">
        <is>
          <t>Plaza Satelite II N1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" ht="21" customHeight="1">
      <c r="A29" s="15" t="inlineStr">
        <is>
          <t>38117</t>
        </is>
      </c>
      <c r="B29" s="12" t="inlineStr">
        <is>
          <t>Satelite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0" ht="21" customHeight="1">
      <c r="A30" s="17" t="inlineStr">
        <is>
          <t>38475</t>
        </is>
      </c>
      <c r="B30" s="8" t="inlineStr">
        <is>
          <t>Satelite Centro Civico</t>
        </is>
      </c>
      <c r="C30" s="8" t="inlineStr">
        <is>
          <t>Yazmin Chabela Guadarrama</t>
        </is>
      </c>
      <c r="D30" s="7" t="n">
        <v>2</v>
      </c>
      <c r="E30" s="7" t="n">
        <v>2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1" ht="21" customHeight="1">
      <c r="A31" s="15" t="inlineStr">
        <is>
          <t>38656</t>
        </is>
      </c>
      <c r="B31" s="12" t="inlineStr">
        <is>
          <t>Viveros de la Loma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2" ht="21" customHeight="1">
      <c r="A32" s="17" t="inlineStr">
        <is>
          <t>38103</t>
        </is>
      </c>
      <c r="B32" s="8" t="inlineStr">
        <is>
          <t>Aguilas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3" ht="21" customHeight="1">
      <c r="A33" s="15" t="inlineStr">
        <is>
          <t>38746</t>
        </is>
      </c>
      <c r="B33" s="12" t="inlineStr">
        <is>
          <t>Arcos Bosques II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" ht="21" customHeight="1">
      <c r="A34" s="17" t="inlineStr">
        <is>
          <t>38617</t>
        </is>
      </c>
      <c r="B34" s="8" t="inlineStr">
        <is>
          <t>Axomiatla</t>
        </is>
      </c>
      <c r="C34" s="8" t="inlineStr">
        <is>
          <t>Adriana Alejandra Tanus Buhler</t>
        </is>
      </c>
      <c r="D34" s="7" t="n">
        <v>0</v>
      </c>
      <c r="E34" s="7" t="n">
        <v>0</v>
      </c>
      <c r="F34" s="7" t="n">
        <v>0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5" ht="21" customHeight="1">
      <c r="A35" s="15" t="inlineStr">
        <is>
          <t>38646</t>
        </is>
      </c>
      <c r="B35" s="12" t="inlineStr">
        <is>
          <t>Carracci</t>
        </is>
      </c>
      <c r="C35" s="12" t="inlineStr">
        <is>
          <t>Adriana Alejandra Tanus Buhler</t>
        </is>
      </c>
      <c r="D35" s="11" t="n">
        <v>1</v>
      </c>
      <c r="E35" s="11" t="n">
        <v>2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6" ht="21" customHeight="1">
      <c r="A36" s="17" t="inlineStr">
        <is>
          <t>38112</t>
        </is>
      </c>
      <c r="B36" s="8" t="inlineStr">
        <is>
          <t>Insurgentes Parroquia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7" ht="21" customHeight="1">
      <c r="A37" s="15" t="inlineStr">
        <is>
          <t>38227</t>
        </is>
      </c>
      <c r="B37" s="12" t="inlineStr">
        <is>
          <t>Lomas Plaza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8" ht="21" customHeight="1">
      <c r="A38" s="17" t="inlineStr">
        <is>
          <t>38730</t>
        </is>
      </c>
      <c r="B38" s="8" t="inlineStr">
        <is>
          <t>Manacar PB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9" ht="21" customHeight="1">
      <c r="A39" s="15" t="inlineStr">
        <is>
          <t>43142</t>
        </is>
      </c>
      <c r="B39" s="12" t="inlineStr">
        <is>
          <t>Montes Urales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0" ht="21" customHeight="1">
      <c r="A40" s="17" t="inlineStr">
        <is>
          <t>38188</t>
        </is>
      </c>
      <c r="B40" s="8" t="inlineStr">
        <is>
          <t>Palmas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1" ht="21" customHeight="1">
      <c r="A41" s="15" t="inlineStr">
        <is>
          <t>38692</t>
        </is>
      </c>
      <c r="B41" s="12" t="inlineStr">
        <is>
          <t>Plaza Exhibimex</t>
        </is>
      </c>
      <c r="C41" s="12" t="inlineStr">
        <is>
          <t>Adriana Alejandra Tanus Buhler</t>
        </is>
      </c>
      <c r="D41" s="11" t="n">
        <v>2</v>
      </c>
      <c r="E41" s="11" t="n">
        <v>0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" ht="21" customHeight="1">
      <c r="A42" s="17" t="inlineStr">
        <is>
          <t>38106</t>
        </is>
      </c>
      <c r="B42" s="8" t="inlineStr">
        <is>
          <t>Prado Norte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3" ht="21" customHeight="1">
      <c r="A43" s="15" t="inlineStr">
        <is>
          <t>38954</t>
        </is>
      </c>
      <c r="B43" s="12" t="inlineStr">
        <is>
          <t>Universidad Anahuac Campus Sur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4" ht="21" customHeight="1">
      <c r="A44" s="17" t="inlineStr">
        <is>
          <t>43011</t>
        </is>
      </c>
      <c r="B44" s="8" t="inlineStr">
        <is>
          <t>Carr Toluca-Atlacomulco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5" ht="21" customHeight="1">
      <c r="A45" s="15" t="inlineStr">
        <is>
          <t>43058</t>
        </is>
      </c>
      <c r="B45" s="12" t="inlineStr">
        <is>
          <t>Casa de Gobierno DT</t>
        </is>
      </c>
      <c r="C45" s="12" t="inlineStr">
        <is>
          <t>Andrea Nava Guzman</t>
        </is>
      </c>
      <c r="D45" s="11" t="n">
        <v>3</v>
      </c>
      <c r="E45" s="11" t="n">
        <v>1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" ht="21" customHeight="1">
      <c r="A46" s="17" t="inlineStr">
        <is>
          <t>38847</t>
        </is>
      </c>
      <c r="B46" s="8" t="inlineStr">
        <is>
          <t>El Molino</t>
        </is>
      </c>
      <c r="C46" s="8" t="inlineStr">
        <is>
          <t>Andrea Nava Guzman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" ht="21" customHeight="1">
      <c r="A47" s="15" t="inlineStr">
        <is>
          <t>38578</t>
        </is>
      </c>
      <c r="B47" s="12" t="inlineStr">
        <is>
          <t>Galerias Toluca</t>
        </is>
      </c>
      <c r="C47" s="12" t="inlineStr">
        <is>
          <t>Andrea Nava Guzman</t>
        </is>
      </c>
      <c r="D47" s="11" t="n">
        <v>2</v>
      </c>
      <c r="E47" s="11" t="n">
        <v>2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" ht="21" customHeight="1">
      <c r="A48" s="17" t="inlineStr">
        <is>
          <t>43147</t>
        </is>
      </c>
      <c r="B48" s="8" t="inlineStr">
        <is>
          <t>Juarez 70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" ht="21" customHeight="1">
      <c r="A49" s="15" t="inlineStr">
        <is>
          <t>38829</t>
        </is>
      </c>
      <c r="B49" s="12" t="inlineStr">
        <is>
          <t>Outlet Lerma</t>
        </is>
      </c>
      <c r="C49" s="12" t="inlineStr">
        <is>
          <t>Andrea Nava Guzman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" ht="21" customHeight="1">
      <c r="A50" s="17" t="inlineStr">
        <is>
          <t>38769</t>
        </is>
      </c>
      <c r="B50" s="8" t="inlineStr">
        <is>
          <t>Patio Toluca</t>
        </is>
      </c>
      <c r="C50" s="8" t="inlineStr">
        <is>
          <t>Andrea Nava Guzman</t>
        </is>
      </c>
      <c r="D50" s="7" t="n">
        <v>1</v>
      </c>
      <c r="E50" s="7" t="n">
        <v>0</v>
      </c>
      <c r="F50" s="7" t="n">
        <v>1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" ht="21" customHeight="1">
      <c r="A51" s="15" t="inlineStr">
        <is>
          <t>38233</t>
        </is>
      </c>
      <c r="B51" s="12" t="inlineStr">
        <is>
          <t>Toluca Colon</t>
        </is>
      </c>
      <c r="C51" s="12" t="inlineStr">
        <is>
          <t>Andrea Nava Guzman</t>
        </is>
      </c>
      <c r="D51" s="11" t="n">
        <v>3</v>
      </c>
      <c r="E51" s="11" t="n">
        <v>0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" ht="21" customHeight="1">
      <c r="A52" s="17" t="inlineStr">
        <is>
          <t>38568</t>
        </is>
      </c>
      <c r="B52" s="8" t="inlineStr">
        <is>
          <t>Av Stim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" ht="21" customHeight="1">
      <c r="A53" s="15" t="inlineStr">
        <is>
          <t>38918</t>
        </is>
      </c>
      <c r="B53" s="12" t="inlineStr">
        <is>
          <t>Bosque Real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" ht="21" customHeight="1">
      <c r="A54" s="17" t="inlineStr">
        <is>
          <t>38815</t>
        </is>
      </c>
      <c r="B54" s="8" t="inlineStr">
        <is>
          <t>Central Interlomas</t>
        </is>
      </c>
      <c r="C54" s="8" t="inlineStr">
        <is>
          <t>Areli Anahi Lazcano Lezama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" ht="21" customHeight="1">
      <c r="A55" s="15" t="inlineStr">
        <is>
          <t>38292</t>
        </is>
      </c>
      <c r="B55" s="12" t="inlineStr">
        <is>
          <t>Jesús del Monte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6" ht="21" customHeight="1">
      <c r="A56" s="17" t="inlineStr">
        <is>
          <t>38185</t>
        </is>
      </c>
      <c r="B56" s="8" t="inlineStr">
        <is>
          <t>Magnocentro</t>
        </is>
      </c>
      <c r="C56" s="8" t="inlineStr">
        <is>
          <t>Areli Anahi Lazcano Lezama</t>
        </is>
      </c>
      <c r="D56" s="7" t="n">
        <v>1</v>
      </c>
      <c r="E56" s="7" t="n">
        <v>2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7" ht="21" customHeight="1">
      <c r="A57" s="15" t="inlineStr">
        <is>
          <t>43107</t>
        </is>
      </c>
      <c r="B57" s="12" t="inlineStr">
        <is>
          <t>Pabellón Bosques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8" ht="21" customHeight="1">
      <c r="A58" s="17" t="inlineStr">
        <is>
          <t>38452</t>
        </is>
      </c>
      <c r="B58" s="8" t="inlineStr">
        <is>
          <t>Parque Interlomas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9" ht="21" customHeight="1">
      <c r="A59" s="15" t="inlineStr">
        <is>
          <t>38466</t>
        </is>
      </c>
      <c r="B59" s="12" t="inlineStr">
        <is>
          <t>Paseo Interlomas 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0" ht="21" customHeight="1">
      <c r="A60" s="17" t="inlineStr">
        <is>
          <t>38553</t>
        </is>
      </c>
      <c r="B60" s="8" t="inlineStr">
        <is>
          <t>Paseo Interlomas 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1" ht="21" customHeight="1">
      <c r="A61" s="15" t="inlineStr">
        <is>
          <t>38799</t>
        </is>
      </c>
      <c r="B61" s="12" t="inlineStr">
        <is>
          <t>Paseo Interlomas III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2" ht="21" customHeight="1">
      <c r="A62" s="17" t="inlineStr">
        <is>
          <t>38179</t>
        </is>
      </c>
      <c r="B62" s="8" t="inlineStr">
        <is>
          <t>Universidad Anáhuac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3" ht="21" customHeight="1">
      <c r="A63" s="15" t="inlineStr">
        <is>
          <t>38439</t>
        </is>
      </c>
      <c r="B63" s="12" t="inlineStr">
        <is>
          <t>Ángeles Interlomas</t>
        </is>
      </c>
      <c r="C63" s="12" t="inlineStr">
        <is>
          <t>Areli Anahi Lazcano Lezama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4" ht="21" customHeight="1">
      <c r="A64" s="17" t="inlineStr">
        <is>
          <t>38957</t>
        </is>
      </c>
      <c r="B64" s="8" t="inlineStr">
        <is>
          <t>Avándaro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5" ht="21" customHeight="1">
      <c r="A65" s="15" t="inlineStr">
        <is>
          <t>38547</t>
        </is>
      </c>
      <c r="B65" s="12" t="inlineStr">
        <is>
          <t>Carr Toluca Mexico KM48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6" ht="21" customHeight="1">
      <c r="A66" s="17" t="inlineStr">
        <is>
          <t>43068</t>
        </is>
      </c>
      <c r="B66" s="8" t="inlineStr">
        <is>
          <t>Galerias Metepec II</t>
        </is>
      </c>
      <c r="C66" s="8" t="inlineStr">
        <is>
          <t>Daniel Flores Maldonado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7" ht="21" customHeight="1">
      <c r="A67" s="15" t="inlineStr">
        <is>
          <t>43059</t>
        </is>
      </c>
      <c r="B67" s="12" t="inlineStr">
        <is>
          <t>La Providencia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8" ht="21" customHeight="1">
      <c r="A68" s="17" t="inlineStr">
        <is>
          <t>38441</t>
        </is>
      </c>
      <c r="B68" s="8" t="inlineStr">
        <is>
          <t>Metepec Plaza del Parque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9" ht="21" customHeight="1">
      <c r="A69" s="15" t="inlineStr">
        <is>
          <t>38668</t>
        </is>
      </c>
      <c r="B69" s="12" t="inlineStr">
        <is>
          <t>Pabellon Metepec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0" ht="21" customHeight="1">
      <c r="A70" s="17" t="inlineStr">
        <is>
          <t>38896</t>
        </is>
      </c>
      <c r="B70" s="8" t="inlineStr">
        <is>
          <t>Paseo Tollocan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1" ht="21" customHeight="1">
      <c r="A71" s="15" t="inlineStr">
        <is>
          <t>38141</t>
        </is>
      </c>
      <c r="B71" s="12" t="inlineStr">
        <is>
          <t>Plaza Mayor Metepec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2" ht="21" customHeight="1">
      <c r="A72" s="17" t="inlineStr">
        <is>
          <t>38987</t>
        </is>
      </c>
      <c r="B72" s="8" t="inlineStr">
        <is>
          <t>Punta Zero Calimaya DT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3" ht="21" customHeight="1">
      <c r="A73" s="15" t="inlineStr">
        <is>
          <t>38485</t>
        </is>
      </c>
      <c r="B73" s="12" t="inlineStr">
        <is>
          <t>Sendero Toluca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4" ht="21" customHeight="1">
      <c r="A74" s="17" t="inlineStr">
        <is>
          <t>38319</t>
        </is>
      </c>
      <c r="B74" s="8" t="inlineStr">
        <is>
          <t>Tecnologico Metepec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5" ht="21" customHeight="1">
      <c r="A75" s="15" t="inlineStr">
        <is>
          <t>38508</t>
        </is>
      </c>
      <c r="B75" s="12" t="inlineStr">
        <is>
          <t>Ampliacion Santa Fe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6" ht="21" customHeight="1">
      <c r="A76" s="17" t="inlineStr">
        <is>
          <t>38607</t>
        </is>
      </c>
      <c r="B76" s="8" t="inlineStr">
        <is>
          <t>Carretera Mexico Toluca KM42</t>
        </is>
      </c>
      <c r="C76" s="8" t="inlineStr">
        <is>
          <t>Erika Julieta Contreras Aguilera</t>
        </is>
      </c>
      <c r="D76" s="7" t="n">
        <v>2</v>
      </c>
      <c r="E76" s="7" t="n">
        <v>0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7" ht="21" customHeight="1">
      <c r="A77" s="15" t="inlineStr">
        <is>
          <t>38633</t>
        </is>
      </c>
      <c r="B77" s="12" t="inlineStr">
        <is>
          <t>Carretera Toluca Mexico (plaza cedros DT)</t>
        </is>
      </c>
      <c r="C77" s="12" t="inlineStr">
        <is>
          <t>Erika Julieta Contreras Aguilera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8" ht="21" customHeight="1">
      <c r="A78" s="17" t="inlineStr">
        <is>
          <t>38361</t>
        </is>
      </c>
      <c r="B78" s="8" t="inlineStr">
        <is>
          <t>Castorena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9" ht="21" customHeight="1">
      <c r="A79" s="15" t="inlineStr">
        <is>
          <t>38148</t>
        </is>
      </c>
      <c r="B79" s="12" t="inlineStr">
        <is>
          <t>Centro Comercial Santa Fe 1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0" ht="21" customHeight="1">
      <c r="A80" s="17" t="inlineStr">
        <is>
          <t>38225</t>
        </is>
      </c>
      <c r="B80" s="8" t="inlineStr">
        <is>
          <t>Centro Comercial Santa Fe 2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1" ht="21" customHeight="1">
      <c r="A81" s="15" t="inlineStr">
        <is>
          <t>38747</t>
        </is>
      </c>
      <c r="B81" s="12" t="inlineStr">
        <is>
          <t>Centro Comercial Santa Fe 3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2" ht="21" customHeight="1">
      <c r="A82" s="17" t="inlineStr">
        <is>
          <t>38438</t>
        </is>
      </c>
      <c r="B82" s="8" t="inlineStr">
        <is>
          <t>City Walk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3" ht="21" customHeight="1">
      <c r="A83" s="15" t="inlineStr">
        <is>
          <t>38704</t>
        </is>
      </c>
      <c r="B83" s="12" t="inlineStr">
        <is>
          <t>Corportivo Banamex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4" ht="21" customHeight="1">
      <c r="A84" s="17" t="inlineStr">
        <is>
          <t>38414</t>
        </is>
      </c>
      <c r="B84" s="8" t="inlineStr">
        <is>
          <t>Park Plaza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5" ht="21" customHeight="1">
      <c r="A85" s="15" t="inlineStr">
        <is>
          <t>38534</t>
        </is>
      </c>
      <c r="B85" s="12" t="inlineStr">
        <is>
          <t>Patio Santa Fe 1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6" ht="21" customHeight="1">
      <c r="A86" s="17" t="inlineStr">
        <is>
          <t>38749</t>
        </is>
      </c>
      <c r="B86" s="8" t="inlineStr">
        <is>
          <t>Patio Santa Fe 2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7" ht="21" customHeight="1">
      <c r="A87" s="15" t="inlineStr">
        <is>
          <t>38122</t>
        </is>
      </c>
      <c r="B87" s="12" t="inlineStr">
        <is>
          <t>Santa Fe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8" ht="21" customHeight="1">
      <c r="A88" s="17" t="inlineStr">
        <is>
          <t>38150</t>
        </is>
      </c>
      <c r="B88" s="8" t="inlineStr">
        <is>
          <t>Santa Fe 2</t>
        </is>
      </c>
      <c r="C88" s="8" t="inlineStr">
        <is>
          <t>Erika Julieta Contreras Aguilera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9" ht="21" customHeight="1">
      <c r="A89" s="15" t="inlineStr">
        <is>
          <t>38189</t>
        </is>
      </c>
      <c r="B89" s="12" t="inlineStr">
        <is>
          <t>Santa Fe Imax</t>
        </is>
      </c>
      <c r="C89" s="12" t="inlineStr">
        <is>
          <t>Erika Julieta Contreras Aguilera</t>
        </is>
      </c>
      <c r="D89" s="11" t="n">
        <v>3</v>
      </c>
      <c r="E89" s="11" t="n">
        <v>1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0" ht="21" customHeight="1">
      <c r="A90" s="17" t="inlineStr">
        <is>
          <t>38929</t>
        </is>
      </c>
      <c r="B90" s="8" t="inlineStr">
        <is>
          <t>Aeropuerto Toluca AMB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1" ht="21" customHeight="1">
      <c r="A91" s="15" t="inlineStr">
        <is>
          <t>43162</t>
        </is>
      </c>
      <c r="B91" s="12" t="inlineStr">
        <is>
          <t>Apto Toluca SUE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2" ht="21" customHeight="1">
      <c r="A92" s="17" t="inlineStr">
        <is>
          <t>38400</t>
        </is>
      </c>
      <c r="B92" s="8" t="inlineStr">
        <is>
          <t>Centro Medico ABC Santa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3" ht="21" customHeight="1">
      <c r="A93" s="15" t="inlineStr">
        <is>
          <t>38798</t>
        </is>
      </c>
      <c r="B93" s="12" t="inlineStr">
        <is>
          <t>Corp. Televisa Sta 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4" ht="21" customHeight="1">
      <c r="A94" s="17" t="inlineStr">
        <is>
          <t>38755</t>
        </is>
      </c>
      <c r="B94" s="8" t="inlineStr">
        <is>
          <t>Corporativo Santander</t>
        </is>
      </c>
      <c r="C94" s="8" t="inlineStr">
        <is>
          <t>Jose De Jesus Magos Arzaluz</t>
        </is>
      </c>
      <c r="D94" s="7" t="n">
        <v>2</v>
      </c>
      <c r="E94" s="7" t="n">
        <v>2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5" ht="21" customHeight="1">
      <c r="A95" s="15" t="inlineStr">
        <is>
          <t>38512</t>
        </is>
      </c>
      <c r="B95" s="12" t="inlineStr">
        <is>
          <t>Garden Santa Fe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6" ht="21" customHeight="1">
      <c r="A96" s="17" t="inlineStr">
        <is>
          <t>38532</t>
        </is>
      </c>
      <c r="B96" s="8" t="inlineStr">
        <is>
          <t>One o One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7" ht="21" customHeight="1">
      <c r="A97" s="15" t="inlineStr">
        <is>
          <t>38777</t>
        </is>
      </c>
      <c r="B97" s="12" t="inlineStr">
        <is>
          <t>Parque la Mexicana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" ht="21" customHeight="1">
      <c r="A98" s="17" t="inlineStr">
        <is>
          <t>38810</t>
        </is>
      </c>
      <c r="B98" s="8" t="inlineStr">
        <is>
          <t>Plaza Centenario ( Tenaria)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9" ht="21" customHeight="1">
      <c r="A99" s="15" t="inlineStr">
        <is>
          <t>38158</t>
        </is>
      </c>
      <c r="B99" s="12" t="inlineStr">
        <is>
          <t>Plaza Lilas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0" ht="21" customHeight="1">
      <c r="A100" s="17" t="inlineStr">
        <is>
          <t>38390</t>
        </is>
      </c>
      <c r="B100" s="8" t="inlineStr">
        <is>
          <t>Samara I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1" ht="21" customHeight="1">
      <c r="A101" s="15" t="inlineStr">
        <is>
          <t>38445</t>
        </is>
      </c>
      <c r="B101" s="12" t="inlineStr">
        <is>
          <t>Samara II</t>
        </is>
      </c>
      <c r="C101" s="12" t="inlineStr">
        <is>
          <t>Jose De Jesus Magos Arzaluz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2" ht="21" customHeight="1">
      <c r="A102" s="17" t="inlineStr">
        <is>
          <t>38166</t>
        </is>
      </c>
      <c r="B102" s="8" t="inlineStr">
        <is>
          <t>Superama SantaFe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3" ht="21" customHeight="1">
      <c r="A103" s="15" t="inlineStr">
        <is>
          <t>38780</t>
        </is>
      </c>
      <c r="B103" s="12" t="inlineStr">
        <is>
          <t>Tec Santa Fe</t>
        </is>
      </c>
      <c r="C103" s="12" t="inlineStr">
        <is>
          <t>Jose De Jesus Magos Arzaluz</t>
        </is>
      </c>
      <c r="D103" s="11" t="n">
        <v>0</v>
      </c>
      <c r="E103" s="11" t="n">
        <v>1</v>
      </c>
      <c r="F103" s="11" t="n">
        <v>1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4" ht="21" customHeight="1">
      <c r="A104" s="17" t="inlineStr">
        <is>
          <t>38751</t>
        </is>
      </c>
      <c r="B104" s="8" t="inlineStr">
        <is>
          <t>Torre Zentrrum II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5" ht="21" customHeight="1">
      <c r="A105" s="15" t="inlineStr">
        <is>
          <t>38715</t>
        </is>
      </c>
      <c r="B105" s="12" t="inlineStr">
        <is>
          <t>Av. Coyoacan DT only</t>
        </is>
      </c>
      <c r="C105" s="12" t="inlineStr">
        <is>
          <t>Juan Jesus Zuñiga Flores</t>
        </is>
      </c>
      <c r="D105" s="11" t="n">
        <v>2</v>
      </c>
      <c r="E105" s="11" t="n">
        <v>3</v>
      </c>
      <c r="F105" s="11" t="n">
        <v>5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6" ht="21" customHeight="1">
      <c r="A106" s="17" t="inlineStr">
        <is>
          <t>38372</t>
        </is>
      </c>
      <c r="B106" s="8" t="inlineStr">
        <is>
          <t>Felix Cuevas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7" ht="21" customHeight="1">
      <c r="A107" s="15" t="inlineStr">
        <is>
          <t>38549</t>
        </is>
      </c>
      <c r="B107" s="12" t="inlineStr">
        <is>
          <t>Galerias Insurgentes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8" ht="21" customHeight="1">
      <c r="A108" s="17" t="inlineStr">
        <is>
          <t>43105</t>
        </is>
      </c>
      <c r="B108" s="8" t="inlineStr">
        <is>
          <t>Insurgentes Capital</t>
        </is>
      </c>
      <c r="C108" s="8" t="inlineStr">
        <is>
          <t>Juan Jesus Zuñiga Flores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9" ht="21" customHeight="1">
      <c r="A109" s="15" t="inlineStr">
        <is>
          <t>38193</t>
        </is>
      </c>
      <c r="B109" s="12" t="inlineStr">
        <is>
          <t>Metropoli Patriotismo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0" ht="21" customHeight="1">
      <c r="A110" s="17" t="inlineStr">
        <is>
          <t>38416</t>
        </is>
      </c>
      <c r="B110" s="8" t="inlineStr">
        <is>
          <t>Mixcoac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1" ht="21" customHeight="1">
      <c r="A111" s="15" t="inlineStr">
        <is>
          <t>38530</t>
        </is>
      </c>
      <c r="B111" s="12" t="inlineStr">
        <is>
          <t>Narvarte</t>
        </is>
      </c>
      <c r="C111" s="12" t="inlineStr">
        <is>
          <t>Juan Jesus Zuñiga Flores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2" ht="21" customHeight="1">
      <c r="A112" s="17" t="inlineStr">
        <is>
          <t>38499</t>
        </is>
      </c>
      <c r="B112" s="8" t="inlineStr">
        <is>
          <t>Pennsylvania</t>
        </is>
      </c>
      <c r="C112" s="8" t="inlineStr">
        <is>
          <t>Juan Jesus Zuñiga Flores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3" ht="21" customHeight="1">
      <c r="A113" s="15" t="inlineStr">
        <is>
          <t>38587</t>
        </is>
      </c>
      <c r="B113" s="12" t="inlineStr">
        <is>
          <t>Plateros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4" ht="21" customHeight="1">
      <c r="A114" s="17" t="inlineStr">
        <is>
          <t>38764</t>
        </is>
      </c>
      <c r="B114" s="8" t="inlineStr">
        <is>
          <t>Star Medica Napoles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5" ht="21" customHeight="1">
      <c r="A115" s="15" t="inlineStr">
        <is>
          <t>38951</t>
        </is>
      </c>
      <c r="B115" s="12" t="inlineStr">
        <is>
          <t>Universidad Panamericana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6" ht="21" customHeight="1">
      <c r="A116" s="17" t="inlineStr">
        <is>
          <t>38717</t>
        </is>
      </c>
      <c r="B116" s="8" t="inlineStr">
        <is>
          <t>Av Revolucion</t>
        </is>
      </c>
      <c r="C116" s="8" t="inlineStr">
        <is>
          <t>Manuel Alejandro Avila Molina</t>
        </is>
      </c>
      <c r="D116" s="7" t="n">
        <v>3</v>
      </c>
      <c r="E116" s="7" t="n">
        <v>3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38773</t>
        </is>
      </c>
      <c r="B118" s="8" t="inlineStr">
        <is>
          <t>Colegio Americano</t>
        </is>
      </c>
      <c r="C118" s="8" t="inlineStr">
        <is>
          <t>Manuel Alejandro Avila Molina</t>
        </is>
      </c>
      <c r="D118" s="7" t="n">
        <v>1</v>
      </c>
      <c r="E118" s="7" t="n">
        <v>0</v>
      </c>
      <c r="F118" s="7" t="n">
        <v>1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9" ht="21" customHeight="1">
      <c r="A119" s="15" t="inlineStr">
        <is>
          <t>38709</t>
        </is>
      </c>
      <c r="B119" s="12" t="inlineStr">
        <is>
          <t>Corporativo Barranca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0" ht="21" customHeight="1">
      <c r="A120" s="17" t="inlineStr">
        <is>
          <t>38386</t>
        </is>
      </c>
      <c r="B120" s="8" t="inlineStr">
        <is>
          <t>Duraznos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2" ht="21" customHeight="1">
      <c r="A122" s="17" t="inlineStr">
        <is>
          <t>38121</t>
        </is>
      </c>
      <c r="B122" s="8" t="inlineStr">
        <is>
          <t>Herradura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3" ht="21" customHeight="1">
      <c r="A123" s="15" t="inlineStr">
        <is>
          <t>38366</t>
        </is>
      </c>
      <c r="B123" s="12" t="inlineStr">
        <is>
          <t>Hospital ABC</t>
        </is>
      </c>
      <c r="C123" s="12" t="inlineStr">
        <is>
          <t>Manuel Alejandro Avila Molina</t>
        </is>
      </c>
      <c r="D123" s="11" t="n">
        <v>1</v>
      </c>
      <c r="E123" s="11" t="n">
        <v>0</v>
      </c>
      <c r="F123" s="11" t="n">
        <v>1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4" ht="21" customHeight="1">
      <c r="A124" s="17" t="inlineStr">
        <is>
          <t>38538</t>
        </is>
      </c>
      <c r="B124" s="8" t="inlineStr">
        <is>
          <t>Monte Pelvoux</t>
        </is>
      </c>
      <c r="C124" s="8" t="inlineStr">
        <is>
          <t>Manuel Alejandro Avila Molina</t>
        </is>
      </c>
      <c r="D124" s="7" t="n">
        <v>5</v>
      </c>
      <c r="E124" s="7" t="n">
        <v>1</v>
      </c>
      <c r="F124" s="7" t="n">
        <v>6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5" ht="21" customHeight="1">
      <c r="A125" s="15" t="inlineStr">
        <is>
          <t>43041</t>
        </is>
      </c>
      <c r="B125" s="12" t="inlineStr">
        <is>
          <t>Parque Aztlan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6" ht="21" customHeight="1">
      <c r="A126" s="17" t="inlineStr">
        <is>
          <t>38722</t>
        </is>
      </c>
      <c r="B126" s="8" t="inlineStr">
        <is>
          <t>Patio Barranca N2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7" ht="21" customHeight="1">
      <c r="A127" s="15" t="inlineStr">
        <is>
          <t>38720</t>
        </is>
      </c>
      <c r="B127" s="12" t="inlineStr">
        <is>
          <t>Patio Barranca PB</t>
        </is>
      </c>
      <c r="C127" s="12" t="inlineStr">
        <is>
          <t>Manuel Alejandro Avila Molina</t>
        </is>
      </c>
      <c r="D127" s="11" t="n">
        <v>2</v>
      </c>
      <c r="E127" s="11" t="n">
        <v>2</v>
      </c>
      <c r="F127" s="11" t="n">
        <v>4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8" ht="21" customHeight="1">
      <c r="A128" s="17" t="inlineStr">
        <is>
          <t>38644</t>
        </is>
      </c>
      <c r="B128" s="8" t="inlineStr">
        <is>
          <t>Torre Virreyes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9" ht="21" customHeight="1">
      <c r="A129" s="15" t="inlineStr">
        <is>
          <t>38419</t>
        </is>
      </c>
      <c r="B129" s="12" t="inlineStr">
        <is>
          <t>Balbuena</t>
        </is>
      </c>
      <c r="C129" s="12" t="inlineStr">
        <is>
          <t>Ariana Janet Gutierrez Martinez</t>
        </is>
      </c>
      <c r="D129" s="11" t="n">
        <v>0</v>
      </c>
      <c r="E129" s="11" t="n">
        <v>0</v>
      </c>
      <c r="F129" s="11" t="n">
        <v>0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0" ht="21" customHeight="1">
      <c r="A130" s="17" t="inlineStr">
        <is>
          <t>38611</t>
        </is>
      </c>
      <c r="B130" s="8" t="inlineStr">
        <is>
          <t>Plaza Basica</t>
        </is>
      </c>
      <c r="C130" s="8" t="inlineStr">
        <is>
          <t>Ariana Janet Gutierrez Martinez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1" ht="21" customHeight="1">
      <c r="A131" s="15" t="inlineStr">
        <is>
          <t>38645</t>
        </is>
      </c>
      <c r="B131" s="12" t="inlineStr">
        <is>
          <t>Plaza Central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2" ht="21" customHeight="1">
      <c r="A132" s="17" t="inlineStr">
        <is>
          <t>38418</t>
        </is>
      </c>
      <c r="B132" s="8" t="inlineStr">
        <is>
          <t>Plaza Oriente l</t>
        </is>
      </c>
      <c r="C132" s="8" t="inlineStr">
        <is>
          <t>Ariana Janet Gutierrez Martinez</t>
        </is>
      </c>
      <c r="D132" s="7" t="n">
        <v>1</v>
      </c>
      <c r="E132" s="7" t="n">
        <v>0</v>
      </c>
      <c r="F132" s="7" t="n">
        <v>1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3" ht="21" customHeight="1">
      <c r="A133" s="15" t="inlineStr">
        <is>
          <t>38725</t>
        </is>
      </c>
      <c r="B133" s="12" t="inlineStr">
        <is>
          <t>Plaza Oriente ll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4" ht="21" customHeight="1">
      <c r="A134" s="17" t="inlineStr">
        <is>
          <t>38468</t>
        </is>
      </c>
      <c r="B134" s="8" t="inlineStr">
        <is>
          <t>Portal Churubusco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6" ht="21" customHeight="1">
      <c r="A136" s="17" t="inlineStr">
        <is>
          <t>38289</t>
        </is>
      </c>
      <c r="B136" s="8" t="inlineStr">
        <is>
          <t>Tezontle l</t>
        </is>
      </c>
      <c r="C136" s="8" t="inlineStr">
        <is>
          <t>Ariana Janet Gutierrez Martinez</t>
        </is>
      </c>
      <c r="D136" s="7" t="n">
        <v>2</v>
      </c>
      <c r="E136" s="7" t="n">
        <v>0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7" ht="21" customHeight="1">
      <c r="A137" s="15" t="inlineStr">
        <is>
          <t>38279</t>
        </is>
      </c>
      <c r="B137" s="12" t="inlineStr">
        <is>
          <t>Tezontle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8" ht="21" customHeight="1">
      <c r="A138" s="17" t="inlineStr">
        <is>
          <t>38226</t>
        </is>
      </c>
      <c r="B138" s="8" t="inlineStr">
        <is>
          <t>Via kiosko 515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9" ht="21" customHeight="1">
      <c r="A139" s="15" t="inlineStr">
        <is>
          <t>38169</t>
        </is>
      </c>
      <c r="B139" s="12" t="inlineStr">
        <is>
          <t>Altavista</t>
        </is>
      </c>
      <c r="C139" s="12" t="inlineStr">
        <is>
          <t>Cesar Alfonso Castillo Romero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40" ht="21" customHeight="1">
      <c r="A140" s="17" t="inlineStr">
        <is>
          <t>38615</t>
        </is>
      </c>
      <c r="B140" s="8" t="inlineStr">
        <is>
          <t>Grand 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1" ht="21" customHeight="1">
      <c r="A141" s="15" t="inlineStr">
        <is>
          <t>38447</t>
        </is>
      </c>
      <c r="B141" s="12" t="inlineStr">
        <is>
          <t>Hospital Angeles del Pedregal</t>
        </is>
      </c>
      <c r="C141" s="12" t="inlineStr">
        <is>
          <t>Cesar Alfonso Castillo Romero</t>
        </is>
      </c>
      <c r="D141" s="11" t="n">
        <v>2</v>
      </c>
      <c r="E141" s="11" t="n">
        <v>2</v>
      </c>
      <c r="F141" s="11" t="n">
        <v>4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2" ht="21" customHeight="1">
      <c r="A142" s="17" t="inlineStr">
        <is>
          <t>43159</t>
        </is>
      </c>
      <c r="B142" s="8" t="inlineStr">
        <is>
          <t>Hospital Angeles del Pedregal II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3" ht="21" customHeight="1">
      <c r="A143" s="15" t="inlineStr">
        <is>
          <t>38428</t>
        </is>
      </c>
      <c r="B143" s="12" t="inlineStr">
        <is>
          <t>Jardines del Pedregal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4" ht="21" customHeight="1">
      <c r="A144" s="17" t="inlineStr">
        <is>
          <t>38571</t>
        </is>
      </c>
      <c r="B144" s="8" t="inlineStr">
        <is>
          <t>Jolie Place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5" ht="21" customHeight="1">
      <c r="A145" s="15" t="inlineStr">
        <is>
          <t>38580</t>
        </is>
      </c>
      <c r="B145" s="12" t="inlineStr">
        <is>
          <t>Pasaje San Jeronimo</t>
        </is>
      </c>
      <c r="C145" s="12" t="inlineStr">
        <is>
          <t>Cesar Alfonso Castillo Romero</t>
        </is>
      </c>
      <c r="D145" s="11" t="n">
        <v>2</v>
      </c>
      <c r="E145" s="11" t="n">
        <v>0</v>
      </c>
      <c r="F145" s="11" t="n">
        <v>2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6" ht="21" customHeight="1">
      <c r="A146" s="17" t="inlineStr">
        <is>
          <t>38691</t>
        </is>
      </c>
      <c r="B146" s="8" t="inlineStr">
        <is>
          <t>Patio Revolución</t>
        </is>
      </c>
      <c r="C146" s="8" t="inlineStr">
        <is>
          <t>Cesar Alfonso Castillo Romero</t>
        </is>
      </c>
      <c r="D146" s="7" t="n">
        <v>1</v>
      </c>
      <c r="E146" s="7" t="n">
        <v>2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7" ht="21" customHeight="1">
      <c r="A147" s="15" t="inlineStr">
        <is>
          <t>38107</t>
        </is>
      </c>
      <c r="B147" s="12" t="inlineStr">
        <is>
          <t>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8" ht="21" customHeight="1">
      <c r="A148" s="17" t="inlineStr">
        <is>
          <t>38544</t>
        </is>
      </c>
      <c r="B148" s="8" t="inlineStr">
        <is>
          <t>Picacho Ajusco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9" ht="21" customHeight="1">
      <c r="A149" s="15" t="inlineStr">
        <is>
          <t>38129</t>
        </is>
      </c>
      <c r="B149" s="12" t="inlineStr">
        <is>
          <t>Plaza Santa Teresa</t>
        </is>
      </c>
      <c r="C149" s="12" t="inlineStr">
        <is>
          <t>Cesar Alfonso Castillo Romero</t>
        </is>
      </c>
      <c r="D149" s="11" t="n">
        <v>0</v>
      </c>
      <c r="E149" s="11" t="n">
        <v>0</v>
      </c>
      <c r="F149" s="11" t="n">
        <v>0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0" ht="21" customHeight="1">
      <c r="A150" s="17" t="inlineStr">
        <is>
          <t>38124</t>
        </is>
      </c>
      <c r="B150" s="8" t="inlineStr">
        <is>
          <t>San Jeronimo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1" ht="21" customHeight="1">
      <c r="A151" s="15" t="inlineStr">
        <is>
          <t>38116</t>
        </is>
      </c>
      <c r="B151" s="12" t="inlineStr">
        <is>
          <t>Santa Teresa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2" ht="21" customHeight="1">
      <c r="A152" s="17" t="inlineStr">
        <is>
          <t>38585</t>
        </is>
      </c>
      <c r="B152" s="8" t="inlineStr">
        <is>
          <t>Oasis II</t>
        </is>
      </c>
      <c r="C152" s="8" t="inlineStr">
        <is>
          <t>Jaqueline Cortes Ayala</t>
        </is>
      </c>
      <c r="D152" s="7" t="n">
        <v>1</v>
      </c>
      <c r="E152" s="7" t="n">
        <v>1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3" ht="21" customHeight="1">
      <c r="A153" s="15" t="inlineStr">
        <is>
          <t>43025</t>
        </is>
      </c>
      <c r="B153" s="12" t="inlineStr">
        <is>
          <t>Punto MAQ</t>
        </is>
      </c>
      <c r="C153" s="12" t="inlineStr">
        <is>
          <t>Jaqueline Cortes Ayala</t>
        </is>
      </c>
      <c r="D153" s="11" t="n">
        <v>3</v>
      </c>
      <c r="E153" s="11" t="n">
        <v>1</v>
      </c>
      <c r="F153" s="11" t="n">
        <v>4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4" ht="21" customHeight="1">
      <c r="A154" s="17" t="inlineStr">
        <is>
          <t>38502</t>
        </is>
      </c>
      <c r="B154" s="8" t="inlineStr">
        <is>
          <t>San Marcos DT</t>
        </is>
      </c>
      <c r="C154" s="8" t="inlineStr">
        <is>
          <t>Jesus Antonio Elguera Flores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5" ht="21" customHeight="1">
      <c r="A155" s="15" t="inlineStr">
        <is>
          <t>38567</t>
        </is>
      </c>
      <c r="B155" s="12" t="inlineStr">
        <is>
          <t>Aragon II</t>
        </is>
      </c>
      <c r="C155" s="12" t="inlineStr">
        <is>
          <t>Monica Selene Morales Ibarra</t>
        </is>
      </c>
      <c r="D155" s="11" t="n">
        <v>3</v>
      </c>
      <c r="E155" s="11" t="n">
        <v>1</v>
      </c>
      <c r="F155" s="11" t="n">
        <v>4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6" ht="21" customHeight="1">
      <c r="A156" s="17" t="inlineStr">
        <is>
          <t>43164</t>
        </is>
      </c>
      <c r="B156" s="8" t="inlineStr">
        <is>
          <t>Blvd Ojo de Agua DT</t>
        </is>
      </c>
      <c r="C156" s="8" t="inlineStr">
        <is>
          <t>Monica Selene Morales Ibarra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7" ht="21" customHeight="1">
      <c r="A157" s="15" t="inlineStr">
        <is>
          <t>38351</t>
        </is>
      </c>
      <c r="B157" s="12" t="inlineStr">
        <is>
          <t>Ciudad Jardin l</t>
        </is>
      </c>
      <c r="C157" s="12" t="inlineStr">
        <is>
          <t>Monica Selene Morales Ibarra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8" ht="21" customHeight="1">
      <c r="A158" s="17" t="inlineStr">
        <is>
          <t>38511</t>
        </is>
      </c>
      <c r="B158" s="8" t="inlineStr">
        <is>
          <t>Ciudad Jardin ll</t>
        </is>
      </c>
      <c r="C158" s="8" t="inlineStr">
        <is>
          <t>Monica Selene Morales Ibarra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9" ht="21" customHeight="1">
      <c r="A159" s="15" t="inlineStr">
        <is>
          <t>38718</t>
        </is>
      </c>
      <c r="B159" s="12" t="inlineStr">
        <is>
          <t>Paseo Ventura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0" ht="21" customHeight="1">
      <c r="A160" s="17" t="inlineStr">
        <is>
          <t>38678</t>
        </is>
      </c>
      <c r="B160" s="8" t="inlineStr">
        <is>
          <t>Power Center las Americas</t>
        </is>
      </c>
      <c r="C160" s="8" t="inlineStr">
        <is>
          <t>Monica Selene Morales Ibarra</t>
        </is>
      </c>
      <c r="D160" s="7" t="n">
        <v>1</v>
      </c>
      <c r="E160" s="7" t="n">
        <v>1</v>
      </c>
      <c r="F160" s="7" t="n">
        <v>2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1" ht="21" customHeight="1">
      <c r="A161" s="15" t="inlineStr">
        <is>
          <t>43183</t>
        </is>
      </c>
      <c r="B161" s="12" t="inlineStr">
        <is>
          <t>Puerta Texcoco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2" ht="21" customHeight="1">
      <c r="A162" s="17" t="inlineStr">
        <is>
          <t>38996</t>
        </is>
      </c>
      <c r="B162" s="8" t="inlineStr">
        <is>
          <t>Valle de Aragon</t>
        </is>
      </c>
      <c r="C162" s="8" t="inlineStr">
        <is>
          <t>Monica Selene Morales Ibarra</t>
        </is>
      </c>
      <c r="D162" s="7" t="n">
        <v>4</v>
      </c>
      <c r="E162" s="7" t="n">
        <v>1</v>
      </c>
      <c r="F162" s="7" t="n">
        <v>5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3" ht="21" customHeight="1">
      <c r="A163" s="18" t="n"/>
      <c r="B163" s="19" t="n"/>
      <c r="C163" s="19" t="inlineStr">
        <is>
          <t>Consolidado</t>
        </is>
      </c>
      <c r="D163" s="20">
        <f>SUM(D5:D162)</f>
        <v/>
      </c>
      <c r="E163" s="20">
        <f>SUM(E5:E162)</f>
        <v/>
      </c>
      <c r="F163" s="20">
        <f>SUM(F5:F162)</f>
        <v/>
      </c>
      <c r="G163" s="19" t="n"/>
    </row>
  </sheetData>
  <autoFilter ref="A4:G16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38749</t>
        </is>
      </c>
      <c r="B130" s="8" t="inlineStr">
        <is>
          <t>Patio Santa Fe 2</t>
        </is>
      </c>
      <c r="C130" s="8" t="inlineStr">
        <is>
          <t>Erika Julieta Contreras Aguilera</t>
        </is>
      </c>
      <c r="D130" s="7" t="n">
        <v>21</v>
      </c>
      <c r="E130" s="7" t="n">
        <v>10</v>
      </c>
      <c r="F130" s="7" t="n">
        <v>31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Erika Julieta Contreras Aguilera</t>
        </is>
      </c>
      <c r="D131" s="11" t="n">
        <v>22</v>
      </c>
      <c r="E131" s="11" t="n">
        <v>8</v>
      </c>
      <c r="F131" s="11" t="n">
        <v>30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Erika Julieta Contreras Aguilera</t>
        </is>
      </c>
      <c r="D132" s="7" t="n">
        <v>28</v>
      </c>
      <c r="E132" s="7" t="n">
        <v>14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Erika Julieta Contreras Aguilera</t>
        </is>
      </c>
      <c r="D133" s="11" t="n">
        <v>26</v>
      </c>
      <c r="E133" s="11" t="n">
        <v>12</v>
      </c>
      <c r="F133" s="11" t="n">
        <v>38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Jose De Jesus Magos Arzaluz</t>
        </is>
      </c>
      <c r="D134" s="7" t="n">
        <v>0</v>
      </c>
      <c r="E134" s="7" t="n">
        <v>2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Jose De Jesus Magos Arzaluz</t>
        </is>
      </c>
      <c r="D135" s="11" t="n">
        <v>0</v>
      </c>
      <c r="E135" s="11" t="n">
        <v>4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Jose De Jesus Magos Arzaluz</t>
        </is>
      </c>
      <c r="D136" s="7" t="n">
        <v>0</v>
      </c>
      <c r="E136" s="7" t="n">
        <v>6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Jose De Jesus Magos Arzaluz</t>
        </is>
      </c>
      <c r="D137" s="11" t="n">
        <v>36</v>
      </c>
      <c r="E137" s="11" t="n">
        <v>8</v>
      </c>
      <c r="F137" s="11" t="n">
        <v>44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Jose De Jesus Magos Arzaluz</t>
        </is>
      </c>
      <c r="D138" s="7" t="n">
        <v>27</v>
      </c>
      <c r="E138" s="7" t="n">
        <v>7</v>
      </c>
      <c r="F138" s="7" t="n">
        <v>34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Jose De Jesus Magos Arzaluz</t>
        </is>
      </c>
      <c r="D139" s="11" t="n">
        <v>32</v>
      </c>
      <c r="E139" s="11" t="n">
        <v>10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Jose De Jesus Magos Arzaluz</t>
        </is>
      </c>
      <c r="D140" s="7" t="n">
        <v>40</v>
      </c>
      <c r="E140" s="7" t="n">
        <v>7</v>
      </c>
      <c r="F140" s="7" t="n">
        <v>47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Jose De Jesus Magos Arzaluz</t>
        </is>
      </c>
      <c r="D143" s="11" t="n">
        <v>36</v>
      </c>
      <c r="E143" s="11" t="n">
        <v>7</v>
      </c>
      <c r="F143" s="11" t="n">
        <v>43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Jose De Jesus Magos Arzaluz</t>
        </is>
      </c>
      <c r="D144" s="7" t="n">
        <v>32</v>
      </c>
      <c r="E144" s="7" t="n">
        <v>20</v>
      </c>
      <c r="F144" s="7" t="n">
        <v>52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Jose De Jesus Magos Arzaluz</t>
        </is>
      </c>
      <c r="D145" s="11" t="n">
        <v>0</v>
      </c>
      <c r="E145" s="11" t="n">
        <v>7</v>
      </c>
      <c r="F145" s="11" t="n">
        <v>7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Jose De Jesus Magos Arzaluz</t>
        </is>
      </c>
      <c r="D146" s="7" t="n">
        <v>30</v>
      </c>
      <c r="E146" s="7" t="n">
        <v>6</v>
      </c>
      <c r="F146" s="7" t="n">
        <v>36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Jose De Jesus Magos Arzaluz</t>
        </is>
      </c>
      <c r="D147" s="11" t="n">
        <v>20</v>
      </c>
      <c r="E147" s="11" t="n">
        <v>6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Jose De Jesus Magos Arzaluz</t>
        </is>
      </c>
      <c r="D148" s="7" t="n">
        <v>32</v>
      </c>
      <c r="E148" s="7" t="n">
        <v>11</v>
      </c>
      <c r="F148" s="7" t="n">
        <v>43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Juan Jesus Zuñiga Flores</t>
        </is>
      </c>
      <c r="D149" s="11" t="n">
        <v>36</v>
      </c>
      <c r="E149" s="11" t="n">
        <v>4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Juan Jesus Zuñiga Flores</t>
        </is>
      </c>
      <c r="D150" s="7" t="n">
        <v>15</v>
      </c>
      <c r="E150" s="7" t="n">
        <v>6</v>
      </c>
      <c r="F150" s="7" t="n">
        <v>21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1" ht="21" customHeight="1">
      <c r="A151" s="15" t="inlineStr">
        <is>
          <t>38549</t>
        </is>
      </c>
      <c r="B151" s="12" t="inlineStr">
        <is>
          <t>Galerias Insurgentes</t>
        </is>
      </c>
      <c r="C151" s="12" t="inlineStr">
        <is>
          <t>Juan Jesus Zuñiga Flores</t>
        </is>
      </c>
      <c r="D151" s="11" t="n">
        <v>20</v>
      </c>
      <c r="E151" s="11" t="n">
        <v>3</v>
      </c>
      <c r="F151" s="11" t="n">
        <v>23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2" ht="21" customHeight="1">
      <c r="A152" s="17" t="inlineStr">
        <is>
          <t>43105</t>
        </is>
      </c>
      <c r="B152" s="8" t="inlineStr">
        <is>
          <t>Insurgentes Capital</t>
        </is>
      </c>
      <c r="C152" s="8" t="inlineStr">
        <is>
          <t>Juan Jesus Zuñiga Flores</t>
        </is>
      </c>
      <c r="D152" s="7" t="n">
        <v>32</v>
      </c>
      <c r="E152" s="7" t="n">
        <v>8</v>
      </c>
      <c r="F152" s="7" t="n">
        <v>40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3" ht="21" customHeight="1">
      <c r="A153" s="15" t="inlineStr">
        <is>
          <t>38530</t>
        </is>
      </c>
      <c r="B153" s="12" t="inlineStr">
        <is>
          <t>Narvarte</t>
        </is>
      </c>
      <c r="C153" s="12" t="inlineStr">
        <is>
          <t>Juan Jesus Zuñiga Flores</t>
        </is>
      </c>
      <c r="D153" s="11" t="n">
        <v>30</v>
      </c>
      <c r="E153" s="11" t="n">
        <v>12</v>
      </c>
      <c r="F153" s="11" t="n">
        <v>42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Juan Jesus Zuñiga Flores</t>
        </is>
      </c>
      <c r="D154" s="7" t="n">
        <v>8</v>
      </c>
      <c r="E154" s="7" t="n">
        <v>5</v>
      </c>
      <c r="F154" s="7" t="n">
        <v>13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5" ht="21" customHeight="1">
      <c r="A155" s="15" t="inlineStr">
        <is>
          <t>38587</t>
        </is>
      </c>
      <c r="B155" s="12" t="inlineStr">
        <is>
          <t>Plateros</t>
        </is>
      </c>
      <c r="C155" s="12" t="inlineStr">
        <is>
          <t>Juan Jesus Zuñiga Flores</t>
        </is>
      </c>
      <c r="D155" s="11" t="n">
        <v>26</v>
      </c>
      <c r="E155" s="11" t="n">
        <v>6</v>
      </c>
      <c r="F155" s="11" t="n">
        <v>32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6" ht="21" customHeight="1">
      <c r="A156" s="17" t="inlineStr">
        <is>
          <t>38764</t>
        </is>
      </c>
      <c r="B156" s="8" t="inlineStr">
        <is>
          <t>Star Medica Napoles</t>
        </is>
      </c>
      <c r="C156" s="8" t="inlineStr">
        <is>
          <t>Juan Jesus Zuñiga Flores</t>
        </is>
      </c>
      <c r="D156" s="7" t="n">
        <v>40</v>
      </c>
      <c r="E156" s="7" t="n">
        <v>8</v>
      </c>
      <c r="F156" s="7" t="n">
        <v>48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7" ht="21" customHeight="1">
      <c r="A157" s="15" t="inlineStr">
        <is>
          <t>38951</t>
        </is>
      </c>
      <c r="B157" s="12" t="inlineStr">
        <is>
          <t>Universidad Panamericana</t>
        </is>
      </c>
      <c r="C157" s="12" t="inlineStr">
        <is>
          <t>Juan Jesus Zuñiga Flores</t>
        </is>
      </c>
      <c r="D157" s="11" t="n">
        <v>9</v>
      </c>
      <c r="E157" s="11" t="n">
        <v>10</v>
      </c>
      <c r="F157" s="11" t="n">
        <v>19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Manuel Alejandro Avila Molina</t>
        </is>
      </c>
      <c r="D158" s="7" t="n">
        <v>33</v>
      </c>
      <c r="E158" s="7" t="n">
        <v>2</v>
      </c>
      <c r="F158" s="7" t="n">
        <v>35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9" ht="21" customHeight="1">
      <c r="A159" s="15" t="inlineStr">
        <is>
          <t>38727</t>
        </is>
      </c>
      <c r="B159" s="12" t="inlineStr">
        <is>
          <t>Centro Tk</t>
        </is>
      </c>
      <c r="C159" s="12" t="inlineStr">
        <is>
          <t>Manuel Alejandro Avila Molina</t>
        </is>
      </c>
      <c r="D159" s="11" t="n">
        <v>24</v>
      </c>
      <c r="E159" s="11" t="n">
        <v>6</v>
      </c>
      <c r="F159" s="11" t="n">
        <v>30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Manuel Alejandro Avila Molina</t>
        </is>
      </c>
      <c r="D160" s="7" t="n">
        <v>22</v>
      </c>
      <c r="E160" s="7" t="n">
        <v>4</v>
      </c>
      <c r="F160" s="7" t="n">
        <v>26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Manuel Alejandro Avila Molina</t>
        </is>
      </c>
      <c r="D161" s="11" t="n">
        <v>35</v>
      </c>
      <c r="E161" s="11" t="n">
        <v>15</v>
      </c>
      <c r="F161" s="11" t="n">
        <v>50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2" ht="21" customHeight="1">
      <c r="A162" s="17" t="inlineStr">
        <is>
          <t>38386</t>
        </is>
      </c>
      <c r="B162" s="8" t="inlineStr">
        <is>
          <t>Duraznos</t>
        </is>
      </c>
      <c r="C162" s="8" t="inlineStr">
        <is>
          <t>Manuel Alejandro Avila Molina</t>
        </is>
      </c>
      <c r="D162" s="7" t="n">
        <v>31</v>
      </c>
      <c r="E162" s="7" t="n">
        <v>6</v>
      </c>
      <c r="F162" s="7" t="n">
        <v>37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3" ht="21" customHeight="1">
      <c r="A163" s="15" t="inlineStr">
        <is>
          <t>38461</t>
        </is>
      </c>
      <c r="B163" s="12" t="inlineStr">
        <is>
          <t>Fuente de Tritones</t>
        </is>
      </c>
      <c r="C163" s="12" t="inlineStr">
        <is>
          <t>Manuel Alejandro Avila Molina</t>
        </is>
      </c>
      <c r="D163" s="11" t="n">
        <v>30</v>
      </c>
      <c r="E163" s="11" t="n">
        <v>6</v>
      </c>
      <c r="F163" s="11" t="n">
        <v>36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4" ht="21" customHeight="1">
      <c r="A164" s="17" t="inlineStr">
        <is>
          <t>38121</t>
        </is>
      </c>
      <c r="B164" s="8" t="inlineStr">
        <is>
          <t>Herradura</t>
        </is>
      </c>
      <c r="C164" s="8" t="inlineStr">
        <is>
          <t>Manuel Alejandro Avila Molina</t>
        </is>
      </c>
      <c r="D164" s="7" t="n">
        <v>36</v>
      </c>
      <c r="E164" s="7" t="n">
        <v>10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Manuel Alejandro Avila Molina</t>
        </is>
      </c>
      <c r="D165" s="11" t="n">
        <v>10</v>
      </c>
      <c r="E165" s="11" t="n">
        <v>2</v>
      </c>
      <c r="F165" s="11" t="n">
        <v>12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Manuel Alejandro Avila Molina</t>
        </is>
      </c>
      <c r="D166" s="7" t="n">
        <v>12</v>
      </c>
      <c r="E166" s="7" t="n">
        <v>7</v>
      </c>
      <c r="F166" s="7" t="n">
        <v>19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Manuel Alejandro Avila Molina</t>
        </is>
      </c>
      <c r="D167" s="11" t="n">
        <v>40</v>
      </c>
      <c r="E167" s="11" t="n">
        <v>11</v>
      </c>
      <c r="F167" s="11" t="n">
        <v>51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68" ht="21" customHeight="1">
      <c r="A168" s="17" t="inlineStr">
        <is>
          <t>38720</t>
        </is>
      </c>
      <c r="B168" s="8" t="inlineStr">
        <is>
          <t>Patio Barranca PB</t>
        </is>
      </c>
      <c r="C168" s="8" t="inlineStr">
        <is>
          <t>Manuel Alejandro Avila Molina</t>
        </is>
      </c>
      <c r="D168" s="7" t="n">
        <v>40</v>
      </c>
      <c r="E168" s="7" t="n">
        <v>6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Manuel Alejandro Avila Molina</t>
        </is>
      </c>
      <c r="D169" s="11" t="n">
        <v>40</v>
      </c>
      <c r="E169" s="11" t="n">
        <v>10</v>
      </c>
      <c r="F169" s="11" t="n">
        <v>50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0" ht="21" customHeight="1">
      <c r="A170" s="17" t="inlineStr">
        <is>
          <t>38419</t>
        </is>
      </c>
      <c r="B170" s="8" t="inlineStr">
        <is>
          <t>Balbuena</t>
        </is>
      </c>
      <c r="C170" s="8" t="inlineStr">
        <is>
          <t>Ariana Janet Gutierrez Martinez</t>
        </is>
      </c>
      <c r="D170" s="7" t="n">
        <v>0</v>
      </c>
      <c r="E170" s="7" t="n">
        <v>1</v>
      </c>
      <c r="F170" s="7" t="n">
        <v>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Ariana Janet Gutierrez Martinez</t>
        </is>
      </c>
      <c r="D171" s="11" t="n">
        <v>23</v>
      </c>
      <c r="E171" s="11" t="n">
        <v>3</v>
      </c>
      <c r="F171" s="11" t="n">
        <v>26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2" ht="21" customHeight="1">
      <c r="A172" s="17" t="inlineStr">
        <is>
          <t>38418</t>
        </is>
      </c>
      <c r="B172" s="8" t="inlineStr">
        <is>
          <t>Plaza Oriente l</t>
        </is>
      </c>
      <c r="C172" s="8" t="inlineStr">
        <is>
          <t>Ariana Janet Gutierrez Martinez</t>
        </is>
      </c>
      <c r="D172" s="7" t="n">
        <v>30</v>
      </c>
      <c r="E172" s="7" t="n">
        <v>4</v>
      </c>
      <c r="F172" s="7" t="n">
        <v>34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3" ht="21" customHeight="1">
      <c r="A173" s="15" t="inlineStr">
        <is>
          <t>38725</t>
        </is>
      </c>
      <c r="B173" s="12" t="inlineStr">
        <is>
          <t>Plaza Oriente ll</t>
        </is>
      </c>
      <c r="C173" s="12" t="inlineStr">
        <is>
          <t>Ariana Janet Gutierrez Martinez</t>
        </is>
      </c>
      <c r="D173" s="11" t="n">
        <v>0</v>
      </c>
      <c r="E173" s="11" t="n">
        <v>4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Ariana Janet Gutierrez Martinez</t>
        </is>
      </c>
      <c r="D174" s="7" t="n">
        <v>6</v>
      </c>
      <c r="E174" s="7" t="n">
        <v>8</v>
      </c>
      <c r="F174" s="7" t="n">
        <v>14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38289</t>
        </is>
      </c>
      <c r="B175" s="12" t="inlineStr">
        <is>
          <t>Tezontle l</t>
        </is>
      </c>
      <c r="C175" s="12" t="inlineStr">
        <is>
          <t>Ariana Janet Gutierrez Martinez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6" ht="21" customHeight="1">
      <c r="A176" s="17" t="inlineStr">
        <is>
          <t>38279</t>
        </is>
      </c>
      <c r="B176" s="8" t="inlineStr">
        <is>
          <t>Tezontle ll</t>
        </is>
      </c>
      <c r="C176" s="8" t="inlineStr">
        <is>
          <t>Ariana Janet Gutierrez Martinez</t>
        </is>
      </c>
      <c r="D176" s="7" t="n">
        <v>33</v>
      </c>
      <c r="E176" s="7" t="n">
        <v>4</v>
      </c>
      <c r="F176" s="7" t="n">
        <v>37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7" ht="21" customHeight="1">
      <c r="A177" s="15" t="inlineStr">
        <is>
          <t>38226</t>
        </is>
      </c>
      <c r="B177" s="12" t="inlineStr">
        <is>
          <t>Via kiosko 515</t>
        </is>
      </c>
      <c r="C177" s="12" t="inlineStr">
        <is>
          <t>Ariana Janet Gutierrez Martinez</t>
        </is>
      </c>
      <c r="D177" s="11" t="n">
        <v>20</v>
      </c>
      <c r="E177" s="11" t="n">
        <v>5</v>
      </c>
      <c r="F177" s="11" t="n">
        <v>25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8" ht="21" customHeight="1">
      <c r="A178" s="17" t="inlineStr">
        <is>
          <t>38615</t>
        </is>
      </c>
      <c r="B178" s="8" t="inlineStr">
        <is>
          <t>Grand San Jeronimo</t>
        </is>
      </c>
      <c r="C178" s="8" t="inlineStr">
        <is>
          <t>Cesar Alfonso Castillo Romero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9" ht="21" customHeight="1">
      <c r="A179" s="15" t="inlineStr">
        <is>
          <t>43159</t>
        </is>
      </c>
      <c r="B179" s="12" t="inlineStr">
        <is>
          <t>Hospital Angeles del Pedregal II</t>
        </is>
      </c>
      <c r="C179" s="12" t="inlineStr">
        <is>
          <t>Cesar Alfonso Castillo Romero</t>
        </is>
      </c>
      <c r="D179" s="11" t="n">
        <v>7</v>
      </c>
      <c r="E179" s="11" t="n">
        <v>0</v>
      </c>
      <c r="F179" s="11" t="n">
        <v>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0" ht="21" customHeight="1">
      <c r="A180" s="17" t="inlineStr">
        <is>
          <t>38428</t>
        </is>
      </c>
      <c r="B180" s="8" t="inlineStr">
        <is>
          <t>Jardines del Pedregal</t>
        </is>
      </c>
      <c r="C180" s="8" t="inlineStr">
        <is>
          <t>Cesar Alfonso Castillo Romero</t>
        </is>
      </c>
      <c r="D180" s="7" t="n">
        <v>29</v>
      </c>
      <c r="E180" s="7" t="n">
        <v>4</v>
      </c>
      <c r="F180" s="7" t="n">
        <v>33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Cesar Alfonso Castillo Romero</t>
        </is>
      </c>
      <c r="D181" s="11" t="n">
        <v>30</v>
      </c>
      <c r="E181" s="11" t="n">
        <v>8</v>
      </c>
      <c r="F181" s="11" t="n">
        <v>38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2" ht="21" customHeight="1">
      <c r="A182" s="17" t="inlineStr">
        <is>
          <t>38580</t>
        </is>
      </c>
      <c r="B182" s="8" t="inlineStr">
        <is>
          <t>Pasaje San Jeronimo</t>
        </is>
      </c>
      <c r="C182" s="8" t="inlineStr">
        <is>
          <t>Cesar Alfonso Castillo Romero</t>
        </is>
      </c>
      <c r="D182" s="7" t="n">
        <v>30</v>
      </c>
      <c r="E182" s="7" t="n">
        <v>2</v>
      </c>
      <c r="F182" s="7" t="n">
        <v>32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Cesar Alfonso Castillo Romero</t>
        </is>
      </c>
      <c r="D183" s="11" t="n">
        <v>12</v>
      </c>
      <c r="E183" s="11" t="n">
        <v>8</v>
      </c>
      <c r="F183" s="11" t="n">
        <v>20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Cesar Alfonso Castillo Romero</t>
        </is>
      </c>
      <c r="D184" s="7" t="n">
        <v>14</v>
      </c>
      <c r="E184" s="7" t="n">
        <v>2</v>
      </c>
      <c r="F184" s="7" t="n">
        <v>16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5" ht="21" customHeight="1">
      <c r="A185" s="15" t="inlineStr">
        <is>
          <t>38129</t>
        </is>
      </c>
      <c r="B185" s="12" t="inlineStr">
        <is>
          <t>Plaza Santa Teresa</t>
        </is>
      </c>
      <c r="C185" s="12" t="inlineStr">
        <is>
          <t>Cesar Alfonso Castillo Romero</t>
        </is>
      </c>
      <c r="D185" s="11" t="n">
        <v>25</v>
      </c>
      <c r="E185" s="11" t="n">
        <v>8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6" ht="21" customHeight="1">
      <c r="A186" s="17" t="inlineStr">
        <is>
          <t>38124</t>
        </is>
      </c>
      <c r="B186" s="8" t="inlineStr">
        <is>
          <t>San Jeronimo</t>
        </is>
      </c>
      <c r="C186" s="8" t="inlineStr">
        <is>
          <t>Cesar Alfonso Castillo Romero</t>
        </is>
      </c>
      <c r="D186" s="7" t="n">
        <v>38</v>
      </c>
      <c r="E186" s="7" t="n">
        <v>2</v>
      </c>
      <c r="F186" s="7" t="n">
        <v>40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7" ht="21" customHeight="1">
      <c r="A187" s="15" t="inlineStr">
        <is>
          <t>38375</t>
        </is>
      </c>
      <c r="B187" s="12" t="inlineStr">
        <is>
          <t>Americas Ecatepec</t>
        </is>
      </c>
      <c r="C187" s="12" t="inlineStr">
        <is>
          <t>Monica Selene Morales Ibarra</t>
        </is>
      </c>
      <c r="D187" s="11" t="n">
        <v>27</v>
      </c>
      <c r="E187" s="11" t="n">
        <v>5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Monica Selene Morales Ibarra</t>
        </is>
      </c>
      <c r="D188" s="7" t="n">
        <v>20</v>
      </c>
      <c r="E188" s="7" t="n">
        <v>5</v>
      </c>
      <c r="F188" s="7" t="n">
        <v>25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9" ht="21" customHeight="1">
      <c r="A189" s="15" t="inlineStr">
        <is>
          <t>43164</t>
        </is>
      </c>
      <c r="B189" s="12" t="inlineStr">
        <is>
          <t>Blvd Ojo de Agua DT</t>
        </is>
      </c>
      <c r="C189" s="12" t="inlineStr">
        <is>
          <t>Monica Selene Morales Ibarra</t>
        </is>
      </c>
      <c r="D189" s="11" t="n">
        <v>0</v>
      </c>
      <c r="E189" s="11" t="n">
        <v>4</v>
      </c>
      <c r="F189" s="11" t="n">
        <v>4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Monica Selene Morales Ibarra</t>
        </is>
      </c>
      <c r="D190" s="7" t="n">
        <v>25</v>
      </c>
      <c r="E190" s="7" t="n">
        <v>6</v>
      </c>
      <c r="F190" s="7" t="n">
        <v>31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Monica Selene Morales Ibarra</t>
        </is>
      </c>
      <c r="D191" s="11" t="n">
        <v>20</v>
      </c>
      <c r="E191" s="11" t="n">
        <v>0</v>
      </c>
      <c r="F191" s="11" t="n">
        <v>20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2" ht="21" customHeight="1">
      <c r="A192" s="17" t="inlineStr">
        <is>
          <t>43034</t>
        </is>
      </c>
      <c r="B192" s="8" t="inlineStr">
        <is>
          <t>Macroplaza Tecamac</t>
        </is>
      </c>
      <c r="C192" s="8" t="inlineStr">
        <is>
          <t>Monica Selene Morales Ibarra</t>
        </is>
      </c>
      <c r="D192" s="7" t="n">
        <v>6</v>
      </c>
      <c r="E192" s="7" t="n">
        <v>4</v>
      </c>
      <c r="F192" s="7" t="n">
        <v>10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3" ht="21" customHeight="1">
      <c r="A193" s="15" t="inlineStr">
        <is>
          <t>38716</t>
        </is>
      </c>
      <c r="B193" s="12" t="inlineStr">
        <is>
          <t>Multiplaza Bosques</t>
        </is>
      </c>
      <c r="C193" s="12" t="inlineStr">
        <is>
          <t>Monica Selene Morales Ibarra</t>
        </is>
      </c>
      <c r="D193" s="11" t="n">
        <v>12</v>
      </c>
      <c r="E193" s="11" t="n">
        <v>3</v>
      </c>
      <c r="F193" s="11" t="n">
        <v>15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Monica Selene Morales Ibarra</t>
        </is>
      </c>
      <c r="D194" s="7" t="n">
        <v>40</v>
      </c>
      <c r="E194" s="7" t="n">
        <v>3</v>
      </c>
      <c r="F194" s="7" t="n">
        <v>43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38429</t>
        </is>
      </c>
      <c r="B195" s="12" t="inlineStr">
        <is>
          <t>Plaza Aragon</t>
        </is>
      </c>
      <c r="C195" s="12" t="inlineStr">
        <is>
          <t>Monica Selene Morales Ibarra</t>
        </is>
      </c>
      <c r="D195" s="11" t="n">
        <v>10</v>
      </c>
      <c r="E195" s="11" t="n">
        <v>4</v>
      </c>
      <c r="F195" s="11" t="n">
        <v>14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6" ht="21" customHeight="1">
      <c r="A196" s="17" t="inlineStr">
        <is>
          <t>38684</t>
        </is>
      </c>
      <c r="B196" s="8" t="inlineStr">
        <is>
          <t>Plaza Chimalhuacan</t>
        </is>
      </c>
      <c r="C196" s="8" t="inlineStr">
        <is>
          <t>Monica Selene Morales Ibarra</t>
        </is>
      </c>
      <c r="D196" s="7" t="n">
        <v>0</v>
      </c>
      <c r="E196" s="7" t="n">
        <v>8</v>
      </c>
      <c r="F196" s="7" t="n">
        <v>8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7" ht="21" customHeight="1">
      <c r="A197" s="15" t="inlineStr">
        <is>
          <t>38678</t>
        </is>
      </c>
      <c r="B197" s="12" t="inlineStr">
        <is>
          <t>Power Center las Americas</t>
        </is>
      </c>
      <c r="C197" s="12" t="inlineStr">
        <is>
          <t>Monica Selene Morales Ibarra</t>
        </is>
      </c>
      <c r="D197" s="11" t="n">
        <v>35</v>
      </c>
      <c r="E197" s="11" t="n">
        <v>6</v>
      </c>
      <c r="F197" s="11" t="n">
        <v>41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Monica Selene Morales Ibarra</t>
        </is>
      </c>
      <c r="D198" s="7" t="n">
        <v>5</v>
      </c>
      <c r="E198" s="7" t="n">
        <v>0</v>
      </c>
      <c r="F198" s="7" t="n">
        <v>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9" ht="21" customHeight="1">
      <c r="A199" s="15" t="inlineStr">
        <is>
          <t>38996</t>
        </is>
      </c>
      <c r="B199" s="12" t="inlineStr">
        <is>
          <t>Valle de Aragon</t>
        </is>
      </c>
      <c r="C199" s="12" t="inlineStr">
        <is>
          <t>Monica Selene Morales Ibarra</t>
        </is>
      </c>
      <c r="D199" s="11" t="n">
        <v>20</v>
      </c>
      <c r="E199" s="11" t="n">
        <v>2</v>
      </c>
      <c r="F199" s="11" t="n">
        <v>22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0" ht="21" customHeight="1">
      <c r="A200" s="18" t="n"/>
      <c r="B200" s="19" t="n"/>
      <c r="C200" s="19" t="inlineStr">
        <is>
          <t>Consolidado</t>
        </is>
      </c>
      <c r="D200" s="20">
        <f>SUM(D5:D199)</f>
        <v/>
      </c>
      <c r="E200" s="20">
        <f>SUM(E5:E199)</f>
        <v/>
      </c>
      <c r="F200" s="20">
        <f>SUM(F5:F199)</f>
        <v/>
      </c>
      <c r="G200" s="19" t="n"/>
    </row>
  </sheetData>
  <autoFilter ref="A4:G19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07/10/2026 12:27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38678</t>
        </is>
      </c>
      <c r="B175" s="12" t="inlineStr">
        <is>
          <t>Power Center las Americas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12</v>
      </c>
      <c r="F175" s="11" t="n">
        <v>2</v>
      </c>
      <c r="G175" s="11" t="n">
        <v>14</v>
      </c>
      <c r="H175" s="13" t="n">
        <v>0.857</v>
      </c>
    </row>
    <row r="176" ht="21" customHeight="1">
      <c r="A176" s="17" t="inlineStr">
        <is>
          <t>43183</t>
        </is>
      </c>
      <c r="B176" s="8" t="inlineStr">
        <is>
          <t>Puerta Texcoco</t>
        </is>
      </c>
      <c r="C176" s="8" t="inlineStr">
        <is>
          <t>Centro Sur</t>
        </is>
      </c>
      <c r="D176" s="8" t="inlineStr">
        <is>
          <t>Monica Selene Morales Ibarra</t>
        </is>
      </c>
      <c r="E176" s="7" t="n">
        <v>11</v>
      </c>
      <c r="F176" s="7" t="n">
        <v>0</v>
      </c>
      <c r="G176" s="7" t="n">
        <v>11</v>
      </c>
      <c r="H176" s="9" t="n">
        <v>1</v>
      </c>
    </row>
    <row r="177" ht="21" customHeight="1">
      <c r="A177" s="15" t="inlineStr">
        <is>
          <t>38996</t>
        </is>
      </c>
      <c r="B177" s="12" t="inlineStr">
        <is>
          <t>Valle de Aragon</t>
        </is>
      </c>
      <c r="C177" s="12" t="inlineStr">
        <is>
          <t>Centro Sur</t>
        </is>
      </c>
      <c r="D177" s="12" t="inlineStr">
        <is>
          <t>Monica Selene Morales Ibarra</t>
        </is>
      </c>
      <c r="E177" s="11" t="n">
        <v>14</v>
      </c>
      <c r="F177" s="11" t="n">
        <v>0</v>
      </c>
      <c r="G177" s="11" t="n">
        <v>14</v>
      </c>
      <c r="H177" s="13" t="n">
        <v>1</v>
      </c>
    </row>
    <row r="178" ht="21" customHeight="1">
      <c r="A178" s="18" t="n"/>
      <c r="B178" s="19" t="n"/>
      <c r="C178" s="19" t="n"/>
      <c r="D178" s="19" t="inlineStr">
        <is>
          <t>Consolidado</t>
        </is>
      </c>
      <c r="E178" s="20">
        <f>SUM(E5:E177)</f>
        <v/>
      </c>
      <c r="F178" s="20">
        <f>SUM(F5:F177)</f>
        <v/>
      </c>
      <c r="G178" s="20">
        <f>SUM(G5:G177)</f>
        <v/>
      </c>
      <c r="H178" s="21">
        <f>IF(G178=0,"",E178/G178)</f>
        <v/>
      </c>
    </row>
  </sheetData>
  <autoFilter ref="A4:H177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2026-10-07T18:32:11Z</dcterms:created>
  <dcterms:modified xsi:type="dcterms:W3CDTF">2026-10-07T18:32:12Z</dcterms:modified>
</cp:coreProperties>
</file>