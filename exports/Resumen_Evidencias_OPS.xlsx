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'Actividades'!$A$4:$H$17</definedName>
    <definedName name="_xlnm._FilterDatabase" localSheetId="3" hidden="1">'Jarras'!$A$4:$G$110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13/09/2026 18:13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609</v>
      </c>
      <c r="C6" s="4" t="n">
        <v>4012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30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122</v>
      </c>
      <c r="E11" s="12" t="n">
        <v>42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93</v>
      </c>
      <c r="E12" s="8" t="n">
        <v>57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72</v>
      </c>
      <c r="E13" s="12" t="n">
        <v>70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68</v>
      </c>
      <c r="E14" s="8" t="n">
        <v>100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52</v>
      </c>
      <c r="E15" s="12" t="n">
        <v>113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153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13</v>
      </c>
      <c r="E17" s="12" t="n">
        <v>130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95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12</v>
      </c>
      <c r="E19" s="12" t="n">
        <v>144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13</v>
      </c>
      <c r="E20" s="8" t="n">
        <v>156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180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180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12</v>
      </c>
      <c r="E23" s="12" t="n">
        <v>157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169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156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182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156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156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169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195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182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208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169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221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156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13/09/2026 18:13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10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38197</t>
        </is>
      </c>
      <c r="C15" s="12" t="inlineStr">
        <is>
          <t>Echegaray</t>
        </is>
      </c>
      <c r="D15" s="12" t="inlineStr">
        <is>
          <t>Yazmin Chabela Guadarrama</t>
        </is>
      </c>
      <c r="E15" s="11" t="n">
        <v>10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38368</t>
        </is>
      </c>
      <c r="C16" s="8" t="inlineStr">
        <is>
          <t>Luna Park</t>
        </is>
      </c>
      <c r="D16" s="8" t="inlineStr">
        <is>
          <t>Enrique Cesar Flores</t>
        </is>
      </c>
      <c r="E16" s="7" t="n">
        <v>10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10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38770</t>
        </is>
      </c>
      <c r="C18" s="8" t="inlineStr">
        <is>
          <t>Gustavo Baz 29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9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9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9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38561</t>
        </is>
      </c>
      <c r="C25" s="12" t="inlineStr">
        <is>
          <t>Parque Toreo</t>
        </is>
      </c>
      <c r="D25" s="12" t="inlineStr">
        <is>
          <t>Yazmin Chabela Guadarrama</t>
        </is>
      </c>
      <c r="E25" s="11" t="n">
        <v>9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9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38719</t>
        </is>
      </c>
      <c r="C27" s="12" t="inlineStr">
        <is>
          <t>Plaza Fortuna</t>
        </is>
      </c>
      <c r="D27" s="12" t="inlineStr">
        <is>
          <t>Veronica Garcia Ortega</t>
        </is>
      </c>
      <c r="E27" s="11" t="n">
        <v>9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38427</t>
        </is>
      </c>
      <c r="C28" s="8" t="inlineStr">
        <is>
          <t>Plaza Satelite</t>
        </is>
      </c>
      <c r="D28" s="8" t="inlineStr">
        <is>
          <t>Yazmin Chabela Guadarrama</t>
        </is>
      </c>
      <c r="E28" s="7" t="n">
        <v>9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38339</t>
        </is>
      </c>
      <c r="C29" s="12" t="inlineStr">
        <is>
          <t>San Marcos</t>
        </is>
      </c>
      <c r="D29" s="12" t="inlineStr">
        <is>
          <t>Enrique Cesar Flores</t>
        </is>
      </c>
      <c r="E29" s="11" t="n">
        <v>9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38475</t>
        </is>
      </c>
      <c r="C30" s="8" t="inlineStr">
        <is>
          <t>Satelite Centro Civico</t>
        </is>
      </c>
      <c r="D30" s="8" t="inlineStr">
        <is>
          <t>Yazmin Chabela Guadarrama</t>
        </is>
      </c>
      <c r="E30" s="7" t="n">
        <v>9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38656</t>
        </is>
      </c>
      <c r="C31" s="12" t="inlineStr">
        <is>
          <t>Viveros de la Loma</t>
        </is>
      </c>
      <c r="D31" s="12" t="inlineStr">
        <is>
          <t>Yazmin Chabela Guadarrama</t>
        </is>
      </c>
      <c r="E31" s="11" t="n">
        <v>9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38965</t>
        </is>
      </c>
      <c r="C37" s="12" t="inlineStr">
        <is>
          <t>Parque Tepeyac Piso 2</t>
        </is>
      </c>
      <c r="D37" s="12" t="inlineStr">
        <is>
          <t>Veronica Garcia Ortega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38894</t>
        </is>
      </c>
      <c r="C38" s="8" t="inlineStr">
        <is>
          <t>Galerias Perinorte</t>
        </is>
      </c>
      <c r="D38" s="8" t="inlineStr">
        <is>
          <t>Enrique Cesar Flores</t>
        </is>
      </c>
      <c r="E38" s="7" t="n">
        <v>7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7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7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38845</t>
        </is>
      </c>
      <c r="C41" s="12" t="inlineStr">
        <is>
          <t>Mundo E II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6</v>
      </c>
      <c r="F42" s="7" t="n">
        <v>7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38930</t>
        </is>
      </c>
      <c r="C43" s="12" t="inlineStr">
        <is>
          <t>Blvd. Aeropuerto dt</t>
        </is>
      </c>
      <c r="D43" s="12" t="inlineStr">
        <is>
          <t>Veronica Garcia Ortega</t>
        </is>
      </c>
      <c r="E43" s="11" t="n">
        <v>6</v>
      </c>
      <c r="F43" s="11" t="n">
        <v>7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38431</t>
        </is>
      </c>
      <c r="C44" s="8" t="inlineStr">
        <is>
          <t>Eduardo Molina</t>
        </is>
      </c>
      <c r="D44" s="8" t="inlineStr">
        <is>
          <t>Veronica Garcia Ortega</t>
        </is>
      </c>
      <c r="E44" s="7" t="n">
        <v>6</v>
      </c>
      <c r="F44" s="7" t="n">
        <v>7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38995</t>
        </is>
      </c>
      <c r="C45" s="12" t="inlineStr">
        <is>
          <t>Encuentro Oceania II</t>
        </is>
      </c>
      <c r="D45" s="12" t="inlineStr">
        <is>
          <t>Veronica Garcia Ortega</t>
        </is>
      </c>
      <c r="E45" s="11" t="n">
        <v>6</v>
      </c>
      <c r="F45" s="11" t="n">
        <v>7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38119</t>
        </is>
      </c>
      <c r="C46" s="8" t="inlineStr">
        <is>
          <t>Lomas Verdes</t>
        </is>
      </c>
      <c r="D46" s="8" t="inlineStr">
        <is>
          <t>Yazmin Haydee Garcia Gonzalez</t>
        </is>
      </c>
      <c r="E46" s="7" t="n">
        <v>6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38270</t>
        </is>
      </c>
      <c r="C47" s="12" t="inlineStr">
        <is>
          <t>Lomas Verdes II</t>
        </is>
      </c>
      <c r="D47" s="12" t="inlineStr">
        <is>
          <t>Yazmin Haydee Garcia Gonzalez</t>
        </is>
      </c>
      <c r="E47" s="11" t="n">
        <v>6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38371</t>
        </is>
      </c>
      <c r="C48" s="8" t="inlineStr">
        <is>
          <t>Montevideo DT</t>
        </is>
      </c>
      <c r="D48" s="8" t="inlineStr">
        <is>
          <t>Vanessa Carreño Rios</t>
        </is>
      </c>
      <c r="E48" s="7" t="n">
        <v>6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38924</t>
        </is>
      </c>
      <c r="C49" s="12" t="inlineStr">
        <is>
          <t>Plaza Aeropuerto</t>
        </is>
      </c>
      <c r="D49" s="12" t="inlineStr">
        <is>
          <t>Veronica Garcia Ortega</t>
        </is>
      </c>
      <c r="E49" s="11" t="n">
        <v>6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38811</t>
        </is>
      </c>
      <c r="C50" s="8" t="inlineStr">
        <is>
          <t>Plaza Tepeyac</t>
        </is>
      </c>
      <c r="D50" s="8" t="inlineStr">
        <is>
          <t>Veronica Garcia Ortega</t>
        </is>
      </c>
      <c r="E50" s="7" t="n">
        <v>6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38266</t>
        </is>
      </c>
      <c r="C51" s="12" t="inlineStr">
        <is>
          <t>San Mateo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38149</t>
        </is>
      </c>
      <c r="C52" s="8" t="inlineStr">
        <is>
          <t>Bellavista</t>
        </is>
      </c>
      <c r="D52" s="8" t="inlineStr">
        <is>
          <t>Yazmin Haydee Garcia Gonzalez</t>
        </is>
      </c>
      <c r="E52" s="7" t="n">
        <v>5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38529</t>
        </is>
      </c>
      <c r="C53" s="12" t="inlineStr">
        <is>
          <t>Bosques de Aragon</t>
        </is>
      </c>
      <c r="D53" s="12" t="inlineStr">
        <is>
          <t>Veronica Garcia Ortega</t>
        </is>
      </c>
      <c r="E53" s="11" t="n">
        <v>5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5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5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5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5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5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38460</t>
        </is>
      </c>
      <c r="C59" s="12" t="inlineStr">
        <is>
          <t>Santa Monica</t>
        </is>
      </c>
      <c r="D59" s="12" t="inlineStr">
        <is>
          <t>Nancy Carolina Rodriguez Medina</t>
        </is>
      </c>
      <c r="E59" s="11" t="n">
        <v>5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38925</t>
        </is>
      </c>
      <c r="C60" s="8" t="inlineStr">
        <is>
          <t>Star Medica Lomas Verdes</t>
        </is>
      </c>
      <c r="D60" s="8" t="inlineStr">
        <is>
          <t>Yazmin Haydee Garcia Gonzalez</t>
        </is>
      </c>
      <c r="E60" s="7" t="n">
        <v>5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38992</t>
        </is>
      </c>
      <c r="C61" s="12" t="inlineStr">
        <is>
          <t>Tapo Puerta Oriente</t>
        </is>
      </c>
      <c r="D61" s="12" t="inlineStr">
        <is>
          <t>Veronica Garcia Ortega</t>
        </is>
      </c>
      <c r="E61" s="11" t="n">
        <v>5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43130</t>
        </is>
      </c>
      <c r="C62" s="8" t="inlineStr">
        <is>
          <t>Town Center Nicolás Romero</t>
        </is>
      </c>
      <c r="D62" s="8" t="inlineStr">
        <is>
          <t>Yazmin Haydee Garcia Gonzalez</t>
        </is>
      </c>
      <c r="E62" s="7" t="n">
        <v>5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38651</t>
        </is>
      </c>
      <c r="C65" s="12" t="inlineStr">
        <is>
          <t>Via Vallejo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43194</t>
        </is>
      </c>
      <c r="C66" s="8" t="inlineStr">
        <is>
          <t>Atana Lindavista</t>
        </is>
      </c>
      <c r="D66" s="8" t="inlineStr">
        <is>
          <t>Vanessa Carreño Rios</t>
        </is>
      </c>
      <c r="E66" s="7" t="n">
        <v>4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38527</t>
        </is>
      </c>
      <c r="C67" s="12" t="inlineStr">
        <is>
          <t>Camarones</t>
        </is>
      </c>
      <c r="D67" s="12" t="inlineStr">
        <is>
          <t>Vanessa Carreño Rios</t>
        </is>
      </c>
      <c r="E67" s="11" t="n">
        <v>4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38837</t>
        </is>
      </c>
      <c r="C68" s="8" t="inlineStr">
        <is>
          <t>Centenario Azcapotzalco</t>
        </is>
      </c>
      <c r="D68" s="8" t="inlineStr">
        <is>
          <t>Vanessa Carreño Rios</t>
        </is>
      </c>
      <c r="E68" s="7" t="n">
        <v>4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38205</t>
        </is>
      </c>
      <c r="C69" s="12" t="inlineStr">
        <is>
          <t>Lindavista</t>
        </is>
      </c>
      <c r="D69" s="12" t="inlineStr">
        <is>
          <t>Vanessa Carreño Rios</t>
        </is>
      </c>
      <c r="E69" s="11" t="n">
        <v>4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2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2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38549</t>
        </is>
      </c>
      <c r="C79" s="12" t="inlineStr">
        <is>
          <t>Galerias Insurgentes</t>
        </is>
      </c>
      <c r="D79" s="12" t="inlineStr">
        <is>
          <t>Juan Jesus Zuñiga Flores</t>
        </is>
      </c>
      <c r="E79" s="11" t="n">
        <v>2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38829</t>
        </is>
      </c>
      <c r="C80" s="8" t="inlineStr">
        <is>
          <t>Outlet Lerma</t>
        </is>
      </c>
      <c r="D80" s="8" t="inlineStr">
        <is>
          <t>Andrea Nava Guzman</t>
        </is>
      </c>
      <c r="E80" s="7" t="n">
        <v>2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38452</t>
        </is>
      </c>
      <c r="C81" s="12" t="inlineStr">
        <is>
          <t>Parque Interlomas</t>
        </is>
      </c>
      <c r="D81" s="12" t="inlineStr">
        <is>
          <t>Areli Anahi Lazcano Lezama</t>
        </is>
      </c>
      <c r="E81" s="11" t="n">
        <v>2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38499</t>
        </is>
      </c>
      <c r="C82" s="8" t="inlineStr">
        <is>
          <t>Pennsylvania</t>
        </is>
      </c>
      <c r="D82" s="8" t="inlineStr">
        <is>
          <t>Juan Jesus Zuñiga Flores</t>
        </is>
      </c>
      <c r="E82" s="7" t="n">
        <v>2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38644</t>
        </is>
      </c>
      <c r="C83" s="12" t="inlineStr">
        <is>
          <t>Torre Virreyes</t>
        </is>
      </c>
      <c r="D83" s="12" t="inlineStr">
        <is>
          <t>Manuel Alejandro Avila Molina</t>
        </is>
      </c>
      <c r="E83" s="11" t="n">
        <v>2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1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1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43162</t>
        </is>
      </c>
      <c r="C87" s="12" t="inlineStr">
        <is>
          <t>Apto Toluca SUE</t>
        </is>
      </c>
      <c r="D87" s="12" t="inlineStr">
        <is>
          <t>Jose De Jesus Magos Arzaluz</t>
        </is>
      </c>
      <c r="E87" s="11" t="n">
        <v>1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38746</t>
        </is>
      </c>
      <c r="C88" s="8" t="inlineStr">
        <is>
          <t>Arcos Bosques II</t>
        </is>
      </c>
      <c r="D88" s="8" t="inlineStr">
        <is>
          <t>Adriana Alejandra Tanus Buhler</t>
        </is>
      </c>
      <c r="E88" s="7" t="n">
        <v>1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1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43011</t>
        </is>
      </c>
      <c r="C96" s="8" t="inlineStr">
        <is>
          <t>Carr Toluca-Atlacomulco DT</t>
        </is>
      </c>
      <c r="D96" s="8" t="inlineStr">
        <is>
          <t>Andrea Nava Guzman</t>
        </is>
      </c>
      <c r="E96" s="7" t="n">
        <v>1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38646</t>
        </is>
      </c>
      <c r="C97" s="12" t="inlineStr">
        <is>
          <t>Carracci</t>
        </is>
      </c>
      <c r="D97" s="12" t="inlineStr">
        <is>
          <t>Adriana Alejandra Tanus Buhler</t>
        </is>
      </c>
      <c r="E97" s="11" t="n">
        <v>1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38607</t>
        </is>
      </c>
      <c r="C98" s="8" t="inlineStr">
        <is>
          <t>Carretera Mexico Toluca KM42</t>
        </is>
      </c>
      <c r="D98" s="8" t="inlineStr">
        <is>
          <t>Erika Julieta Contreras Aguilera</t>
        </is>
      </c>
      <c r="E98" s="7" t="n">
        <v>1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38633</t>
        </is>
      </c>
      <c r="C99" s="12" t="inlineStr">
        <is>
          <t>Carretera Toluca Mexico (plaza cedros DT)</t>
        </is>
      </c>
      <c r="D99" s="12" t="inlineStr">
        <is>
          <t>Erika Julieta Contreras Aguilera</t>
        </is>
      </c>
      <c r="E99" s="11" t="n">
        <v>1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43058</t>
        </is>
      </c>
      <c r="C100" s="8" t="inlineStr">
        <is>
          <t>Casa de Gobierno DT</t>
        </is>
      </c>
      <c r="D100" s="8" t="inlineStr">
        <is>
          <t>Andrea Nava Guzman</t>
        </is>
      </c>
      <c r="E100" s="7" t="n">
        <v>1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38361</t>
        </is>
      </c>
      <c r="C101" s="12" t="inlineStr">
        <is>
          <t>Castorena</t>
        </is>
      </c>
      <c r="D101" s="12" t="inlineStr">
        <is>
          <t>Erika Julieta Contreras Aguilera</t>
        </is>
      </c>
      <c r="E101" s="11" t="n">
        <v>1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38815</t>
        </is>
      </c>
      <c r="C102" s="8" t="inlineStr">
        <is>
          <t>Central Interlomas</t>
        </is>
      </c>
      <c r="D102" s="8" t="inlineStr">
        <is>
          <t>Areli Anahi Lazcano Lezama</t>
        </is>
      </c>
      <c r="E102" s="7" t="n">
        <v>1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38148</t>
        </is>
      </c>
      <c r="C103" s="12" t="inlineStr">
        <is>
          <t>Centro Comercial Santa Fe 1</t>
        </is>
      </c>
      <c r="D103" s="12" t="inlineStr">
        <is>
          <t>Erika Julieta Contreras Aguilera</t>
        </is>
      </c>
      <c r="E103" s="11" t="n">
        <v>1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38225</t>
        </is>
      </c>
      <c r="C104" s="8" t="inlineStr">
        <is>
          <t>Centro Comercial Santa Fe 2</t>
        </is>
      </c>
      <c r="D104" s="8" t="inlineStr">
        <is>
          <t>Erika Julieta Contreras Aguilera</t>
        </is>
      </c>
      <c r="E104" s="7" t="n">
        <v>1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38747</t>
        </is>
      </c>
      <c r="C105" s="12" t="inlineStr">
        <is>
          <t>Centro Comercial Santa Fe 3</t>
        </is>
      </c>
      <c r="D105" s="12" t="inlineStr">
        <is>
          <t>Erika Julieta Contreras Aguilera</t>
        </is>
      </c>
      <c r="E105" s="11" t="n">
        <v>1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38400</t>
        </is>
      </c>
      <c r="C106" s="8" t="inlineStr">
        <is>
          <t>Centro Medico ABC Santa Fe</t>
        </is>
      </c>
      <c r="D106" s="8" t="inlineStr">
        <is>
          <t>Jose De Jesus Magos Arzaluz</t>
        </is>
      </c>
      <c r="E106" s="7" t="n">
        <v>1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38773</t>
        </is>
      </c>
      <c r="C108" s="8" t="inlineStr">
        <is>
          <t>Colegio Americano</t>
        </is>
      </c>
      <c r="D108" s="8" t="inlineStr">
        <is>
          <t>Manuel Alejandro Avila Molina</t>
        </is>
      </c>
      <c r="E108" s="7" t="n">
        <v>1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38798</t>
        </is>
      </c>
      <c r="C109" s="12" t="inlineStr">
        <is>
          <t>Corp. Televisa Sta Fe</t>
        </is>
      </c>
      <c r="D109" s="12" t="inlineStr">
        <is>
          <t>Jose De Jesus Magos Arzaluz</t>
        </is>
      </c>
      <c r="E109" s="11" t="n">
        <v>1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38709</t>
        </is>
      </c>
      <c r="C110" s="8" t="inlineStr">
        <is>
          <t>Corporativo Barranca</t>
        </is>
      </c>
      <c r="D110" s="8" t="inlineStr">
        <is>
          <t>Manuel Alejandro Avila Molina</t>
        </is>
      </c>
      <c r="E110" s="7" t="n">
        <v>1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38755</t>
        </is>
      </c>
      <c r="C111" s="12" t="inlineStr">
        <is>
          <t>Corporativo Santander</t>
        </is>
      </c>
      <c r="D111" s="12" t="inlineStr">
        <is>
          <t>Jose De Jesus Magos Arzaluz</t>
        </is>
      </c>
      <c r="E111" s="11" t="n">
        <v>1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38704</t>
        </is>
      </c>
      <c r="C112" s="8" t="inlineStr">
        <is>
          <t>Corportivo Banamex</t>
        </is>
      </c>
      <c r="D112" s="8" t="inlineStr">
        <is>
          <t>Erika Julieta Contreras Aguilera</t>
        </is>
      </c>
      <c r="E112" s="7" t="n">
        <v>1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38847</t>
        </is>
      </c>
      <c r="C113" s="12" t="inlineStr">
        <is>
          <t>El Molino</t>
        </is>
      </c>
      <c r="D113" s="12" t="inlineStr">
        <is>
          <t>Andrea Nava Guzman</t>
        </is>
      </c>
      <c r="E113" s="11" t="n">
        <v>1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38372</t>
        </is>
      </c>
      <c r="C114" s="8" t="inlineStr">
        <is>
          <t>Felix Cuevas</t>
        </is>
      </c>
      <c r="D114" s="8" t="inlineStr">
        <is>
          <t>Juan Jesus Zuñiga Flores</t>
        </is>
      </c>
      <c r="E114" s="7" t="n">
        <v>1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38461</t>
        </is>
      </c>
      <c r="C115" s="12" t="inlineStr">
        <is>
          <t>Fuente de Tritones</t>
        </is>
      </c>
      <c r="D115" s="12" t="inlineStr">
        <is>
          <t>Manuel Alejandro Avila Molina</t>
        </is>
      </c>
      <c r="E115" s="11" t="n">
        <v>1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43105</t>
        </is>
      </c>
      <c r="C121" s="12" t="inlineStr">
        <is>
          <t>Insurgentes Capital</t>
        </is>
      </c>
      <c r="D121" s="12" t="inlineStr">
        <is>
          <t>Juan Jesus Zuñiga Flores</t>
        </is>
      </c>
      <c r="E121" s="11" t="n">
        <v>1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38112</t>
        </is>
      </c>
      <c r="C122" s="8" t="inlineStr">
        <is>
          <t>Insurgentes Parroquia</t>
        </is>
      </c>
      <c r="D122" s="8" t="inlineStr">
        <is>
          <t>Adriana Alejandra Tanus Buhler</t>
        </is>
      </c>
      <c r="E122" s="7" t="n">
        <v>1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38292</t>
        </is>
      </c>
      <c r="C123" s="12" t="inlineStr">
        <is>
          <t>Jesús del Monte</t>
        </is>
      </c>
      <c r="D123" s="12" t="inlineStr">
        <is>
          <t>Areli Anahi Lazcano Lezama</t>
        </is>
      </c>
      <c r="E123" s="11" t="n">
        <v>1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43147</t>
        </is>
      </c>
      <c r="C124" s="8" t="inlineStr">
        <is>
          <t>Juarez 70</t>
        </is>
      </c>
      <c r="D124" s="8" t="inlineStr">
        <is>
          <t>Andrea Nava Guzman</t>
        </is>
      </c>
      <c r="E124" s="7" t="n">
        <v>1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1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1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38185</t>
        </is>
      </c>
      <c r="C127" s="12" t="inlineStr">
        <is>
          <t>Magnocentro</t>
        </is>
      </c>
      <c r="D127" s="12" t="inlineStr">
        <is>
          <t>Areli Anahi Lazcano Lezama</t>
        </is>
      </c>
      <c r="E127" s="11" t="n">
        <v>1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38730</t>
        </is>
      </c>
      <c r="C128" s="8" t="inlineStr">
        <is>
          <t>Manacar PB</t>
        </is>
      </c>
      <c r="D128" s="8" t="inlineStr">
        <is>
          <t>Adriana Alejandra Tanus Buhler</t>
        </is>
      </c>
      <c r="E128" s="7" t="n">
        <v>1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1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38193</t>
        </is>
      </c>
      <c r="C130" s="8" t="inlineStr">
        <is>
          <t>Metropoli Patriotismo</t>
        </is>
      </c>
      <c r="D130" s="8" t="inlineStr">
        <is>
          <t>Juan Jesus Zuñiga Flores</t>
        </is>
      </c>
      <c r="E130" s="7" t="n">
        <v>1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38416</t>
        </is>
      </c>
      <c r="C131" s="12" t="inlineStr">
        <is>
          <t>Mixcoac</t>
        </is>
      </c>
      <c r="D131" s="12" t="inlineStr">
        <is>
          <t>Juan Jesus Zuñiga Flores</t>
        </is>
      </c>
      <c r="E131" s="11" t="n">
        <v>1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38538</t>
        </is>
      </c>
      <c r="C132" s="8" t="inlineStr">
        <is>
          <t>Monte Pelvoux</t>
        </is>
      </c>
      <c r="D132" s="8" t="inlineStr">
        <is>
          <t>Manuel Alejandro Avila Molina</t>
        </is>
      </c>
      <c r="E132" s="7" t="n">
        <v>1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43142</t>
        </is>
      </c>
      <c r="C133" s="12" t="inlineStr">
        <is>
          <t>Montes Urales</t>
        </is>
      </c>
      <c r="D133" s="12" t="inlineStr">
        <is>
          <t>Adriana Alejandra Tanus Buhler</t>
        </is>
      </c>
      <c r="E133" s="11" t="n">
        <v>1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38530</t>
        </is>
      </c>
      <c r="C134" s="8" t="inlineStr">
        <is>
          <t>Narvarte</t>
        </is>
      </c>
      <c r="D134" s="8" t="inlineStr">
        <is>
          <t>Juan Jesus Zuñiga Flores</t>
        </is>
      </c>
      <c r="E134" s="7" t="n">
        <v>1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38532</t>
        </is>
      </c>
      <c r="C135" s="12" t="inlineStr">
        <is>
          <t>One o One</t>
        </is>
      </c>
      <c r="D135" s="12" t="inlineStr">
        <is>
          <t>Jose De Jesus Magos Arzaluz</t>
        </is>
      </c>
      <c r="E135" s="11" t="n">
        <v>1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38668</t>
        </is>
      </c>
      <c r="C136" s="8" t="inlineStr">
        <is>
          <t>Pabellon Metepec</t>
        </is>
      </c>
      <c r="D136" s="8" t="inlineStr">
        <is>
          <t>Daniel Flores Maldonado</t>
        </is>
      </c>
      <c r="E136" s="7" t="n">
        <v>1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43107</t>
        </is>
      </c>
      <c r="C137" s="12" t="inlineStr">
        <is>
          <t>Pabellón Bosques</t>
        </is>
      </c>
      <c r="D137" s="12" t="inlineStr">
        <is>
          <t>Areli Anahi Lazcano Lezama</t>
        </is>
      </c>
      <c r="E137" s="11" t="n">
        <v>1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38188</t>
        </is>
      </c>
      <c r="C138" s="8" t="inlineStr">
        <is>
          <t>Palmas</t>
        </is>
      </c>
      <c r="D138" s="8" t="inlineStr">
        <is>
          <t>Adriana Alejandra Tanus Buhler</t>
        </is>
      </c>
      <c r="E138" s="7" t="n">
        <v>1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38414</t>
        </is>
      </c>
      <c r="C139" s="12" t="inlineStr">
        <is>
          <t>Park Plaza</t>
        </is>
      </c>
      <c r="D139" s="12" t="inlineStr">
        <is>
          <t>Erika Julieta Contreras Aguilera</t>
        </is>
      </c>
      <c r="E139" s="11" t="n">
        <v>1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43041</t>
        </is>
      </c>
      <c r="C140" s="8" t="inlineStr">
        <is>
          <t>Parque Aztlan</t>
        </is>
      </c>
      <c r="D140" s="8" t="inlineStr">
        <is>
          <t>Manuel Alejandro Avila Molina</t>
        </is>
      </c>
      <c r="E140" s="7" t="n">
        <v>1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38777</t>
        </is>
      </c>
      <c r="C141" s="12" t="inlineStr">
        <is>
          <t>Parque la Mexicana</t>
        </is>
      </c>
      <c r="D141" s="12" t="inlineStr">
        <is>
          <t>Jose De Jesus Magos Arzaluz</t>
        </is>
      </c>
      <c r="E141" s="11" t="n">
        <v>1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38466</t>
        </is>
      </c>
      <c r="C142" s="8" t="inlineStr">
        <is>
          <t>Paseo Interlomas I</t>
        </is>
      </c>
      <c r="D142" s="8" t="inlineStr">
        <is>
          <t>Areli Anahi Lazcano Lezama</t>
        </is>
      </c>
      <c r="E142" s="7" t="n">
        <v>1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38553</t>
        </is>
      </c>
      <c r="C143" s="12" t="inlineStr">
        <is>
          <t>Paseo Interlomas II</t>
        </is>
      </c>
      <c r="D143" s="12" t="inlineStr">
        <is>
          <t>Areli Anahi Lazcano Lezama</t>
        </is>
      </c>
      <c r="E143" s="11" t="n">
        <v>1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38799</t>
        </is>
      </c>
      <c r="C144" s="8" t="inlineStr">
        <is>
          <t>Paseo Interlomas III</t>
        </is>
      </c>
      <c r="D144" s="8" t="inlineStr">
        <is>
          <t>Areli Anahi Lazcano Lezama</t>
        </is>
      </c>
      <c r="E144" s="7" t="n">
        <v>1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38896</t>
        </is>
      </c>
      <c r="C145" s="12" t="inlineStr">
        <is>
          <t>Paseo Tollocan DT</t>
        </is>
      </c>
      <c r="D145" s="12" t="inlineStr">
        <is>
          <t>Daniel Flores Maldonado</t>
        </is>
      </c>
      <c r="E145" s="11" t="n">
        <v>1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38722</t>
        </is>
      </c>
      <c r="C146" s="8" t="inlineStr">
        <is>
          <t>Patio Barranca N2</t>
        </is>
      </c>
      <c r="D146" s="8" t="inlineStr">
        <is>
          <t>Manuel Alejandro Avila Molina</t>
        </is>
      </c>
      <c r="E146" s="7" t="n">
        <v>1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38720</t>
        </is>
      </c>
      <c r="C147" s="12" t="inlineStr">
        <is>
          <t>Patio Barranca PB</t>
        </is>
      </c>
      <c r="D147" s="12" t="inlineStr">
        <is>
          <t>Manuel Alejandro Avila Molina</t>
        </is>
      </c>
      <c r="E147" s="11" t="n">
        <v>1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38534</t>
        </is>
      </c>
      <c r="C148" s="8" t="inlineStr">
        <is>
          <t>Patio Santa Fe 1</t>
        </is>
      </c>
      <c r="D148" s="8" t="inlineStr">
        <is>
          <t>Erika Julieta Contreras Aguilera</t>
        </is>
      </c>
      <c r="E148" s="7" t="n">
        <v>1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38749</t>
        </is>
      </c>
      <c r="C149" s="12" t="inlineStr">
        <is>
          <t>Patio Santa Fe 2</t>
        </is>
      </c>
      <c r="D149" s="12" t="inlineStr">
        <is>
          <t>Erika Julieta Contreras Aguilera</t>
        </is>
      </c>
      <c r="E149" s="11" t="n">
        <v>1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38769</t>
        </is>
      </c>
      <c r="C150" s="8" t="inlineStr">
        <is>
          <t>Patio Toluca</t>
        </is>
      </c>
      <c r="D150" s="8" t="inlineStr">
        <is>
          <t>Andrea Nava Guzman</t>
        </is>
      </c>
      <c r="E150" s="7" t="n">
        <v>1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38764</t>
        </is>
      </c>
      <c r="C164" s="8" t="inlineStr">
        <is>
          <t>Star Medica Napoles</t>
        </is>
      </c>
      <c r="D164" s="8" t="inlineStr">
        <is>
          <t>Juan Jesus Zuñiga Flores</t>
        </is>
      </c>
      <c r="E164" s="7" t="n">
        <v>1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38166</t>
        </is>
      </c>
      <c r="C165" s="12" t="inlineStr">
        <is>
          <t>Superama SantaFe</t>
        </is>
      </c>
      <c r="D165" s="12" t="inlineStr">
        <is>
          <t>Jose De Jesus Magos Arzaluz</t>
        </is>
      </c>
      <c r="E165" s="11" t="n">
        <v>1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38780</t>
        </is>
      </c>
      <c r="C166" s="8" t="inlineStr">
        <is>
          <t>Tec Santa Fe</t>
        </is>
      </c>
      <c r="D166" s="8" t="inlineStr">
        <is>
          <t>Jose De Jesus Magos Arzaluz</t>
        </is>
      </c>
      <c r="E166" s="7" t="n">
        <v>1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1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38233</t>
        </is>
      </c>
      <c r="C168" s="8" t="inlineStr">
        <is>
          <t>Toluca Colon</t>
        </is>
      </c>
      <c r="D168" s="8" t="inlineStr">
        <is>
          <t>Andrea Nava Guzman</t>
        </is>
      </c>
      <c r="E168" s="7" t="n">
        <v>1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38439</t>
        </is>
      </c>
      <c r="C174" s="8" t="inlineStr">
        <is>
          <t>Ángeles Interlomas</t>
        </is>
      </c>
      <c r="D174" s="8" t="inlineStr">
        <is>
          <t>Areli Anahi Lazcano Lezama</t>
        </is>
      </c>
      <c r="E174" s="7" t="n">
        <v>1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38155</t>
        </is>
      </c>
      <c r="C175" s="12" t="inlineStr">
        <is>
          <t>16 de Septiembre</t>
        </is>
      </c>
      <c r="D175" s="12" t="inlineStr">
        <is>
          <t>Vacante</t>
        </is>
      </c>
      <c r="E175" s="11" t="n">
        <v>0</v>
      </c>
      <c r="F175" s="11" t="n">
        <v>13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38497</t>
        </is>
      </c>
      <c r="C176" s="8" t="inlineStr">
        <is>
          <t>5 de Mayo</t>
        </is>
      </c>
      <c r="D176" s="8" t="inlineStr">
        <is>
          <t>Vacante</t>
        </is>
      </c>
      <c r="E176" s="7" t="n">
        <v>0</v>
      </c>
      <c r="F176" s="7" t="n">
        <v>13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38906</t>
        </is>
      </c>
      <c r="C177" s="12" t="inlineStr">
        <is>
          <t>APTO Ciudad de MéxicoAMB PTA 2</t>
        </is>
      </c>
      <c r="D177" s="12" t="inlineStr">
        <is>
          <t>Maria Anallely Sanchez Garcia</t>
        </is>
      </c>
      <c r="E177" s="11" t="n">
        <v>0</v>
      </c>
      <c r="F177" s="11" t="n">
        <v>13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38182</t>
        </is>
      </c>
      <c r="C178" s="8" t="inlineStr">
        <is>
          <t>Aeropuerto D8</t>
        </is>
      </c>
      <c r="D178" s="8" t="inlineStr">
        <is>
          <t>Maria Anallely Sanchez Garcia</t>
        </is>
      </c>
      <c r="E178" s="7" t="n">
        <v>0</v>
      </c>
      <c r="F178" s="7" t="n">
        <v>13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38167</t>
        </is>
      </c>
      <c r="C179" s="12" t="inlineStr">
        <is>
          <t>Aeropuerto Dufry</t>
        </is>
      </c>
      <c r="D179" s="12" t="inlineStr">
        <is>
          <t>Maria Anallely Sanchez Garcia</t>
        </is>
      </c>
      <c r="E179" s="11" t="n">
        <v>0</v>
      </c>
      <c r="F179" s="11" t="n">
        <v>13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38151</t>
        </is>
      </c>
      <c r="C180" s="8" t="inlineStr">
        <is>
          <t>Aeropuerto II Sala Bravo</t>
        </is>
      </c>
      <c r="D180" s="8" t="inlineStr">
        <is>
          <t>Maria Anallely Sanchez Garcia</t>
        </is>
      </c>
      <c r="E180" s="7" t="n">
        <v>0</v>
      </c>
      <c r="F180" s="7" t="n">
        <v>13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38171</t>
        </is>
      </c>
      <c r="C181" s="12" t="inlineStr">
        <is>
          <t>Aeropuerto Internacional II</t>
        </is>
      </c>
      <c r="D181" s="12" t="inlineStr">
        <is>
          <t>Maria Anallely Sanchez Garcia</t>
        </is>
      </c>
      <c r="E181" s="11" t="n">
        <v>0</v>
      </c>
      <c r="F181" s="11" t="n">
        <v>13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38481</t>
        </is>
      </c>
      <c r="C182" s="8" t="inlineStr">
        <is>
          <t>Alfonso Reyes</t>
        </is>
      </c>
      <c r="D182" s="8" t="inlineStr">
        <is>
          <t>Alberto Torrado Aguilar Cauz</t>
        </is>
      </c>
      <c r="E182" s="7" t="n">
        <v>0</v>
      </c>
      <c r="F182" s="7" t="n">
        <v>13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0</v>
      </c>
      <c r="F183" s="11" t="n">
        <v>13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0</v>
      </c>
      <c r="F184" s="7" t="n">
        <v>13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38415</t>
        </is>
      </c>
      <c r="C185" s="12" t="inlineStr">
        <is>
          <t>Amsterdam</t>
        </is>
      </c>
      <c r="D185" s="12" t="inlineStr">
        <is>
          <t>Alberto Torrado Aguilar Cauz</t>
        </is>
      </c>
      <c r="E185" s="11" t="n">
        <v>0</v>
      </c>
      <c r="F185" s="11" t="n">
        <v>13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38101</t>
        </is>
      </c>
      <c r="C186" s="8" t="inlineStr">
        <is>
          <t>Angel</t>
        </is>
      </c>
      <c r="D186" s="8" t="inlineStr">
        <is>
          <t>Guadalupe Ibarra Martínez</t>
        </is>
      </c>
      <c r="E186" s="7" t="n">
        <v>0</v>
      </c>
      <c r="F186" s="7" t="n">
        <v>13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38471</t>
        </is>
      </c>
      <c r="C187" s="12" t="inlineStr">
        <is>
          <t>Angeles Acoxpa</t>
        </is>
      </c>
      <c r="D187" s="12" t="inlineStr">
        <is>
          <t>Fernando Eduardo Verdugo Saldaña</t>
        </is>
      </c>
      <c r="E187" s="11" t="n">
        <v>0</v>
      </c>
      <c r="F187" s="11" t="n">
        <v>13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13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13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13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13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13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13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13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13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13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13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13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13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13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13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13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13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13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13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13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13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13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13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13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13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13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13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13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13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13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13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13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13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13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13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13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13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13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13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13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13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13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13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13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13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13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13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13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13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13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13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13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13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13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13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13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13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13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13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13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13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13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13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13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13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13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13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13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13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13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13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13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13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13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13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13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13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13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13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13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13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13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13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13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13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13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13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13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13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13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13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13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13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13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13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13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13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13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13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13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13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13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13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13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13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13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13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13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13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13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13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13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13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13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13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13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13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13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13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13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13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13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13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13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13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13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13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13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13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13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13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13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13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13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13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13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13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13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13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13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13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13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13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13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13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13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13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13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13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13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13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13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13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13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13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13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13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13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13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13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13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13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13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13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13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13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13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13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13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13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13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13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13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13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13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13/09/2026 18:13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69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57</v>
      </c>
      <c r="D10" s="7" t="n">
        <v>300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21</v>
      </c>
      <c r="D15" s="11" t="n">
        <v>336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106</v>
      </c>
      <c r="D16" s="7" t="n">
        <v>251</v>
      </c>
      <c r="E16" s="9">
        <f>IFERROR(C16/(C16+D16),0)</f>
        <v/>
      </c>
      <c r="F16" s="8" t="inlineStr">
        <is>
          <t>13/09/26</t>
        </is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13</v>
      </c>
      <c r="B17" s="12" t="inlineStr">
        <is>
          <t>Validacion Horario Festivo Sep 26</t>
        </is>
      </c>
      <c r="C17" s="11" t="n">
        <v>2</v>
      </c>
      <c r="D17" s="11" t="n">
        <v>355</v>
      </c>
      <c r="E17" s="13">
        <f>IFERROR(C17/(C17+D17),0)</f>
        <v/>
      </c>
      <c r="F17" s="12" t="inlineStr">
        <is>
          <t>Sin fecha compromiso</t>
        </is>
      </c>
      <c r="G17" s="14" t="inlineStr">
        <is>
          <t>Atención</t>
        </is>
      </c>
      <c r="H17" s="14" t="inlineStr">
        <is>
          <t>Priorizar hoy</t>
        </is>
      </c>
    </row>
  </sheetData>
  <autoFilter ref="A4:H17"/>
  <mergeCells count="2">
    <mergeCell ref="A1:H2"/>
    <mergeCell ref="A3:H3"/>
  </mergeCells>
  <conditionalFormatting sqref="E5:E1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13/09/2026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38764</t>
        </is>
      </c>
      <c r="B96" s="8" t="inlineStr">
        <is>
          <t>Star Medica Napoles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7" ht="21" customHeight="1">
      <c r="A97" s="15" t="inlineStr">
        <is>
          <t>38951</t>
        </is>
      </c>
      <c r="B97" s="12" t="inlineStr">
        <is>
          <t>Universidad Panamericana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8" ht="21" customHeight="1">
      <c r="A98" s="17" t="inlineStr">
        <is>
          <t>38717</t>
        </is>
      </c>
      <c r="B98" s="8" t="inlineStr">
        <is>
          <t>Av Revolucion</t>
        </is>
      </c>
      <c r="C98" s="8" t="inlineStr">
        <is>
          <t>Manuel Alejandro Avila Molina</t>
        </is>
      </c>
      <c r="D98" s="7" t="n">
        <v>3</v>
      </c>
      <c r="E98" s="7" t="n">
        <v>3</v>
      </c>
      <c r="F98" s="7" t="n">
        <v>6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9" ht="21" customHeight="1">
      <c r="A99" s="15" t="inlineStr">
        <is>
          <t>38727</t>
        </is>
      </c>
      <c r="B99" s="12" t="inlineStr">
        <is>
          <t>Centro Tk</t>
        </is>
      </c>
      <c r="C99" s="12" t="inlineStr">
        <is>
          <t>Manuel Alejandro Avila Molina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0" ht="21" customHeight="1">
      <c r="A100" s="17" t="inlineStr">
        <is>
          <t>38773</t>
        </is>
      </c>
      <c r="B100" s="8" t="inlineStr">
        <is>
          <t>Colegio Americano</t>
        </is>
      </c>
      <c r="C100" s="8" t="inlineStr">
        <is>
          <t>Manuel Alejandro Avila Molina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1" ht="21" customHeight="1">
      <c r="A101" s="15" t="inlineStr">
        <is>
          <t>38709</t>
        </is>
      </c>
      <c r="B101" s="12" t="inlineStr">
        <is>
          <t>Corporativo Barranca</t>
        </is>
      </c>
      <c r="C101" s="12" t="inlineStr">
        <is>
          <t>Manuel Alejandro Avila Molina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2" ht="21" customHeight="1">
      <c r="A102" s="17" t="inlineStr">
        <is>
          <t>38386</t>
        </is>
      </c>
      <c r="B102" s="8" t="inlineStr">
        <is>
          <t>Duraznos</t>
        </is>
      </c>
      <c r="C102" s="8" t="inlineStr">
        <is>
          <t>Manuel Alejandro Avila Molina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3" ht="21" customHeight="1">
      <c r="A103" s="15" t="inlineStr">
        <is>
          <t>38461</t>
        </is>
      </c>
      <c r="B103" s="12" t="inlineStr">
        <is>
          <t>Fuente de Tritones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4" ht="21" customHeight="1">
      <c r="A104" s="17" t="inlineStr">
        <is>
          <t>38121</t>
        </is>
      </c>
      <c r="B104" s="8" t="inlineStr">
        <is>
          <t>Herradura</t>
        </is>
      </c>
      <c r="C104" s="8" t="inlineStr">
        <is>
          <t>Manuel Alejandro Avila Molina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Manuel Alejandro Avila Molina</t>
        </is>
      </c>
      <c r="D105" s="11" t="n">
        <v>1</v>
      </c>
      <c r="E105" s="11" t="n">
        <v>0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6" ht="21" customHeight="1">
      <c r="A106" s="17" t="inlineStr">
        <is>
          <t>38538</t>
        </is>
      </c>
      <c r="B106" s="8" t="inlineStr">
        <is>
          <t>Monte Pelvoux</t>
        </is>
      </c>
      <c r="C106" s="8" t="inlineStr">
        <is>
          <t>Manuel Alejandro Avila Molina</t>
        </is>
      </c>
      <c r="D106" s="7" t="n">
        <v>5</v>
      </c>
      <c r="E106" s="7" t="n">
        <v>1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7" ht="21" customHeight="1">
      <c r="A107" s="15" t="inlineStr">
        <is>
          <t>43041</t>
        </is>
      </c>
      <c r="B107" s="12" t="inlineStr">
        <is>
          <t>Parque Aztlan</t>
        </is>
      </c>
      <c r="C107" s="12" t="inlineStr">
        <is>
          <t>Manuel Alejandro Avila Molina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8" ht="21" customHeight="1">
      <c r="A108" s="17" t="inlineStr">
        <is>
          <t>38722</t>
        </is>
      </c>
      <c r="B108" s="8" t="inlineStr">
        <is>
          <t>Patio Barranca N2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9" ht="21" customHeight="1">
      <c r="A109" s="15" t="inlineStr">
        <is>
          <t>38720</t>
        </is>
      </c>
      <c r="B109" s="12" t="inlineStr">
        <is>
          <t>Patio Barranca PB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0" ht="21" customHeight="1">
      <c r="A110" s="17" t="inlineStr">
        <is>
          <t>38644</t>
        </is>
      </c>
      <c r="B110" s="8" t="inlineStr">
        <is>
          <t>Torre Virreyes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1" ht="21" customHeight="1">
      <c r="A111" s="18" t="n"/>
      <c r="B111" s="19" t="n"/>
      <c r="C111" s="19" t="inlineStr">
        <is>
          <t>Consolidado</t>
        </is>
      </c>
      <c r="D111" s="20">
        <f>SUM(D5:D110)</f>
        <v/>
      </c>
      <c r="E111" s="20">
        <f>SUM(E5:E110)</f>
        <v/>
      </c>
      <c r="F111" s="20">
        <f>SUM(F5:F110)</f>
        <v/>
      </c>
      <c r="G111" s="19" t="n"/>
    </row>
  </sheetData>
  <autoFilter ref="A4:G1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2026-09-14T00:28:31Z</dcterms:created>
  <dcterms:modified xsi:type="dcterms:W3CDTF">2026-09-14T00:28:32Z</dcterms:modified>
</cp:coreProperties>
</file>