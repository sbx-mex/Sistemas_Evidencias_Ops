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486</v>
      </c>
      <c r="C6" s="4" t="n">
        <v>3779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96</v>
      </c>
      <c r="E10" s="8" t="n">
        <v>21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35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1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10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38136</t>
        </is>
      </c>
      <c r="C13" s="12" t="inlineStr">
        <is>
          <t>Punta Norte</t>
        </is>
      </c>
      <c r="D13" s="12" t="inlineStr">
        <is>
          <t>Nancy Carolina Rodriguez Medina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9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38590</t>
        </is>
      </c>
      <c r="C15" s="12" t="inlineStr">
        <is>
          <t>Parque Toreo II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4" t="inlineStr">
        <is>
          <t>Seguimiento</t>
        </is>
      </c>
      <c r="I17" s="14" t="inlineStr">
        <is>
          <t>Dar seguimiento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3</v>
      </c>
      <c r="G18" s="9">
        <f>IFERROR(E18/(E18+F18),0)</f>
        <v/>
      </c>
      <c r="H18" s="14" t="inlineStr">
        <is>
          <t>Seguimiento</t>
        </is>
      </c>
      <c r="I18" s="14" t="inlineStr">
        <is>
          <t>Dar seguimiento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38374</t>
        </is>
      </c>
      <c r="C46" s="8" t="inlineStr">
        <is>
          <t>Valle Dorado</t>
        </is>
      </c>
      <c r="D46" s="8" t="inlineStr">
        <is>
          <t>Nancy Carolina Rodriguez Medina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43130</t>
        </is>
      </c>
      <c r="C58" s="8" t="inlineStr">
        <is>
          <t>Town Center Nicolás Romero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38651</t>
        </is>
      </c>
      <c r="C59" s="12" t="inlineStr">
        <is>
          <t>Via Vallejo</t>
        </is>
      </c>
      <c r="D59" s="12" t="inlineStr">
        <is>
          <t>Vanessa Carreño Rios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38266</t>
        </is>
      </c>
      <c r="C62" s="8" t="inlineStr">
        <is>
          <t>San Mateo</t>
        </is>
      </c>
      <c r="D62" s="8" t="inlineStr">
        <is>
          <t>Yazmin Haydee Garcia Gonzalez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43194</t>
        </is>
      </c>
      <c r="C63" s="12" t="inlineStr">
        <is>
          <t>Atana Lindavista</t>
        </is>
      </c>
      <c r="D63" s="12" t="inlineStr">
        <is>
          <t>Vanessa Carreño Rios</t>
        </is>
      </c>
      <c r="E63" s="11" t="n">
        <v>4</v>
      </c>
      <c r="F63" s="11" t="n">
        <v>8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38527</t>
        </is>
      </c>
      <c r="C64" s="8" t="inlineStr">
        <is>
          <t>Camarones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38205</t>
        </is>
      </c>
      <c r="C66" s="8" t="inlineStr">
        <is>
          <t>Lindavista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38270</t>
        </is>
      </c>
      <c r="C67" s="12" t="inlineStr">
        <is>
          <t>Lomas Verdes II</t>
        </is>
      </c>
      <c r="D67" s="12" t="inlineStr">
        <is>
          <t>Yazmin Haydee Garcia Gonzalez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52</v>
      </c>
      <c r="D10" s="7" t="n">
        <v>305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3</v>
      </c>
      <c r="D16" s="7" t="n">
        <v>354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0</v>
      </c>
      <c r="E7" s="11" t="n">
        <v>0</v>
      </c>
      <c r="F7" s="11" t="n">
        <v>0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8" ht="21" customHeight="1">
      <c r="A8" s="18" t="n"/>
      <c r="B8" s="19" t="n"/>
      <c r="C8" s="19" t="inlineStr">
        <is>
          <t>Consolidado</t>
        </is>
      </c>
      <c r="D8" s="20">
        <f>SUM(D5:D7)</f>
        <v/>
      </c>
      <c r="E8" s="20">
        <f>SUM(E5:E7)</f>
        <v/>
      </c>
      <c r="F8" s="20">
        <f>SUM(F5:F7)</f>
        <v/>
      </c>
      <c r="G8" s="19" t="n"/>
    </row>
  </sheetData>
  <autoFilter ref="A4:G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2026-09-10T00:45:59Z</dcterms:created>
  <dcterms:modified xmlns:dcterms="http://purl.org/dc/terms/" xmlns:xsi="http://www.w3.org/2001/XMLSchema-instance" xsi:type="dcterms:W3CDTF">2026-09-10T00:45:59Z</dcterms:modified>
</cp:coreProperties>
</file>