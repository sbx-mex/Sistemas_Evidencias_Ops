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Jarras" sheetId="4" state="visible" r:id="rId4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'Tiendas'!$A$4:$I$361</definedName>
    <definedName name="_xlnm.Print_Titles" localSheetId="1">'Tiendas'!$1:$4</definedName>
    <definedName name="_xlnm._FilterDatabase" localSheetId="2" hidden="1">'Actividades'!$A$4:$H$15</definedName>
    <definedName name="_xlnm._FilterDatabase" localSheetId="3" hidden="1">'Jarras'!$A$4:$G$118</definedName>
    <definedName name="_xlnm.Print_Titles" localSheetId="3">'Jarras'!$1:$4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19/09/2026 15:31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397</v>
      </c>
      <c r="C6" s="4" t="n">
        <v>3514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Yazmin Chabela</t>
        </is>
      </c>
      <c r="C10" s="7" t="n">
        <v>13</v>
      </c>
      <c r="D10" s="7" t="n">
        <v>87</v>
      </c>
      <c r="E10" s="8" t="n">
        <v>52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Enrique César</t>
        </is>
      </c>
      <c r="C11" s="11" t="n">
        <v>10</v>
      </c>
      <c r="D11" s="11" t="n">
        <v>66</v>
      </c>
      <c r="E11" s="12" t="n">
        <v>41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Nancy Rodriguez</t>
        </is>
      </c>
      <c r="C12" s="7" t="n">
        <v>12</v>
      </c>
      <c r="D12" s="7" t="n">
        <v>62</v>
      </c>
      <c r="E12" s="8" t="n">
        <v>65</v>
      </c>
      <c r="F12" s="9">
        <f>IFERROR(D12/(D12+E12),0)</f>
        <v/>
      </c>
      <c r="G12" s="10" t="inlineStr">
        <is>
          <t>Seguimiento</t>
        </is>
      </c>
      <c r="H12" s="10" t="inlineStr">
        <is>
          <t>Dar seguimiento</t>
        </is>
      </c>
    </row>
    <row r="13" ht="21" customHeight="1">
      <c r="A13" s="11" t="n">
        <v>4</v>
      </c>
      <c r="B13" s="12" t="inlineStr">
        <is>
          <t>Veronica Garcia</t>
        </is>
      </c>
      <c r="C13" s="11" t="n">
        <v>11</v>
      </c>
      <c r="D13" s="11" t="n">
        <v>33</v>
      </c>
      <c r="E13" s="12" t="n">
        <v>86</v>
      </c>
      <c r="F13" s="13">
        <f>IFERROR(D13/(D13+E13),0)</f>
        <v/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5</v>
      </c>
      <c r="B14" s="8" t="inlineStr">
        <is>
          <t>Yazmin Garcia</t>
        </is>
      </c>
      <c r="C14" s="7" t="n">
        <v>13</v>
      </c>
      <c r="D14" s="7" t="n">
        <v>33</v>
      </c>
      <c r="E14" s="8" t="n">
        <v>110</v>
      </c>
      <c r="F14" s="9">
        <f>IFERROR(D14/(D14+E14),0)</f>
        <v/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6</v>
      </c>
      <c r="B15" s="12" t="inlineStr">
        <is>
          <t>Vanessa Carreño</t>
        </is>
      </c>
      <c r="C15" s="11" t="n">
        <v>13</v>
      </c>
      <c r="D15" s="11" t="n">
        <v>16</v>
      </c>
      <c r="E15" s="12" t="n">
        <v>125</v>
      </c>
      <c r="F15" s="13">
        <f>IFERROR(D15/(D15+E15),0)</f>
        <v/>
      </c>
      <c r="G15" s="14" t="inlineStr">
        <is>
          <t>Atención</t>
        </is>
      </c>
      <c r="H15" s="14" t="inlineStr">
        <is>
          <t>Priorizar hoy</t>
        </is>
      </c>
    </row>
    <row r="16" ht="21" customHeight="1">
      <c r="A16" s="7" t="n">
        <v>7</v>
      </c>
      <c r="B16" s="8" t="inlineStr">
        <is>
          <t>Andrea Nava</t>
        </is>
      </c>
      <c r="C16" s="7" t="n">
        <v>8</v>
      </c>
      <c r="D16" s="7" t="n">
        <v>9</v>
      </c>
      <c r="E16" s="8" t="n">
        <v>79</v>
      </c>
      <c r="F16" s="9">
        <f>IFERROR(D16/(D16+E16),0)</f>
        <v/>
      </c>
      <c r="G16" s="14" t="inlineStr">
        <is>
          <t>Atención</t>
        </is>
      </c>
      <c r="H16" s="14" t="inlineStr">
        <is>
          <t>Priorizar hoy</t>
        </is>
      </c>
    </row>
    <row r="17" ht="21" customHeight="1">
      <c r="A17" s="11" t="n">
        <v>8</v>
      </c>
      <c r="B17" s="12" t="inlineStr">
        <is>
          <t>Manuel Avila</t>
        </is>
      </c>
      <c r="C17" s="11" t="n">
        <v>13</v>
      </c>
      <c r="D17" s="11" t="n">
        <v>14</v>
      </c>
      <c r="E17" s="12" t="n">
        <v>129</v>
      </c>
      <c r="F17" s="13">
        <f>IFERROR(D17/(D17+E17),0)</f>
        <v/>
      </c>
      <c r="G17" s="14" t="inlineStr">
        <is>
          <t>Atención</t>
        </is>
      </c>
      <c r="H17" s="14" t="inlineStr">
        <is>
          <t>Priorizar hoy</t>
        </is>
      </c>
    </row>
    <row r="18" ht="21" customHeight="1">
      <c r="A18" s="7" t="n">
        <v>9</v>
      </c>
      <c r="B18" s="8" t="inlineStr">
        <is>
          <t>Adriana Tanus</t>
        </is>
      </c>
      <c r="C18" s="7" t="n">
        <v>12</v>
      </c>
      <c r="D18" s="7" t="n">
        <v>12</v>
      </c>
      <c r="E18" s="8" t="n">
        <v>120</v>
      </c>
      <c r="F18" s="9">
        <f>IFERROR(D18/(D18+E18),0)</f>
        <v/>
      </c>
      <c r="G18" s="14" t="inlineStr">
        <is>
          <t>Atención</t>
        </is>
      </c>
      <c r="H18" s="14" t="inlineStr">
        <is>
          <t>Priorizar hoy</t>
        </is>
      </c>
    </row>
    <row r="19" ht="21" customHeight="1">
      <c r="A19" s="11" t="n">
        <v>10</v>
      </c>
      <c r="B19" s="12" t="inlineStr">
        <is>
          <t>Erika Contreras</t>
        </is>
      </c>
      <c r="C19" s="11" t="n">
        <v>15</v>
      </c>
      <c r="D19" s="11" t="n">
        <v>15</v>
      </c>
      <c r="E19" s="12" t="n">
        <v>150</v>
      </c>
      <c r="F19" s="13">
        <f>IFERROR(D19/(D19+E19),0)</f>
        <v/>
      </c>
      <c r="G19" s="14" t="inlineStr">
        <is>
          <t>Atención</t>
        </is>
      </c>
      <c r="H19" s="14" t="inlineStr">
        <is>
          <t>Priorizar hoy</t>
        </is>
      </c>
    </row>
    <row r="20" ht="21" customHeight="1">
      <c r="A20" s="7" t="n">
        <v>11</v>
      </c>
      <c r="B20" s="8" t="inlineStr">
        <is>
          <t>Jose Magos</t>
        </is>
      </c>
      <c r="C20" s="7" t="n">
        <v>15</v>
      </c>
      <c r="D20" s="7" t="n">
        <v>15</v>
      </c>
      <c r="E20" s="8" t="n">
        <v>150</v>
      </c>
      <c r="F20" s="9">
        <f>IFERROR(D20/(D20+E20),0)</f>
        <v/>
      </c>
      <c r="G20" s="14" t="inlineStr">
        <is>
          <t>Atención</t>
        </is>
      </c>
      <c r="H20" s="14" t="inlineStr">
        <is>
          <t>Priorizar hoy</t>
        </is>
      </c>
    </row>
    <row r="21" ht="21" customHeight="1">
      <c r="A21" s="11" t="n">
        <v>12</v>
      </c>
      <c r="B21" s="12" t="inlineStr">
        <is>
          <t>Areli Lazcano</t>
        </is>
      </c>
      <c r="C21" s="11" t="n">
        <v>13</v>
      </c>
      <c r="D21" s="11" t="n">
        <v>12</v>
      </c>
      <c r="E21" s="12" t="n">
        <v>131</v>
      </c>
      <c r="F21" s="13">
        <f>IFERROR(D21/(D21+E21),0)</f>
        <v/>
      </c>
      <c r="G21" s="14" t="inlineStr">
        <is>
          <t>Atención</t>
        </is>
      </c>
      <c r="H21" s="14" t="inlineStr">
        <is>
          <t>Priorizar hoy</t>
        </is>
      </c>
    </row>
    <row r="22" ht="21" customHeight="1">
      <c r="A22" s="7" t="n">
        <v>13</v>
      </c>
      <c r="B22" s="8" t="inlineStr">
        <is>
          <t>Daniel Flores</t>
        </is>
      </c>
      <c r="C22" s="7" t="n">
        <v>13</v>
      </c>
      <c r="D22" s="7" t="n">
        <v>12</v>
      </c>
      <c r="E22" s="8" t="n">
        <v>131</v>
      </c>
      <c r="F22" s="9">
        <f>IFERROR(D22/(D22+E22),0)</f>
        <v/>
      </c>
      <c r="G22" s="14" t="inlineStr">
        <is>
          <t>Atención</t>
        </is>
      </c>
      <c r="H22" s="14" t="inlineStr">
        <is>
          <t>Priorizar hoy</t>
        </is>
      </c>
    </row>
    <row r="23" ht="21" customHeight="1">
      <c r="A23" s="11" t="n">
        <v>14</v>
      </c>
      <c r="B23" s="12" t="inlineStr">
        <is>
          <t>Juan Zuñiga</t>
        </is>
      </c>
      <c r="C23" s="11" t="n">
        <v>11</v>
      </c>
      <c r="D23" s="11" t="n">
        <v>10</v>
      </c>
      <c r="E23" s="12" t="n">
        <v>111</v>
      </c>
      <c r="F23" s="13">
        <f>IFERROR(D23/(D23+E23),0)</f>
        <v/>
      </c>
      <c r="G23" s="14" t="inlineStr">
        <is>
          <t>Atención</t>
        </is>
      </c>
      <c r="H23" s="14" t="inlineStr">
        <is>
          <t>Priorizar hoy</t>
        </is>
      </c>
    </row>
    <row r="24" ht="21" customHeight="1">
      <c r="A24" s="7" t="n">
        <v>15</v>
      </c>
      <c r="B24" s="8" t="inlineStr">
        <is>
          <t>Monica Morales</t>
        </is>
      </c>
      <c r="C24" s="7" t="n">
        <v>13</v>
      </c>
      <c r="D24" s="7" t="n">
        <v>1</v>
      </c>
      <c r="E24" s="8" t="n">
        <v>142</v>
      </c>
      <c r="F24" s="9">
        <f>IFERROR(D24/(D24+E24),0)</f>
        <v/>
      </c>
      <c r="G24" s="14" t="inlineStr">
        <is>
          <t>Atención</t>
        </is>
      </c>
      <c r="H24" s="14" t="inlineStr">
        <is>
          <t>Priorizar hoy</t>
        </is>
      </c>
    </row>
    <row r="25" ht="21" customHeight="1">
      <c r="A25" s="11" t="n">
        <v>16</v>
      </c>
      <c r="B25" s="12" t="inlineStr">
        <is>
          <t>Alberto Torrado</t>
        </is>
      </c>
      <c r="C25" s="11" t="n">
        <v>13</v>
      </c>
      <c r="D25" s="11" t="n">
        <v>0</v>
      </c>
      <c r="E25" s="12" t="n">
        <v>143</v>
      </c>
      <c r="F25" s="13">
        <f>IFERROR(D25/(D25+E25),0)</f>
        <v/>
      </c>
      <c r="G25" s="14" t="inlineStr">
        <is>
          <t>Atención</t>
        </is>
      </c>
      <c r="H25" s="14" t="inlineStr">
        <is>
          <t>Priorizar hoy</t>
        </is>
      </c>
    </row>
    <row r="26" ht="21" customHeight="1">
      <c r="A26" s="7" t="n">
        <v>17</v>
      </c>
      <c r="B26" s="8" t="inlineStr">
        <is>
          <t>Ariana Gutierrez</t>
        </is>
      </c>
      <c r="C26" s="7" t="n">
        <v>12</v>
      </c>
      <c r="D26" s="7" t="n">
        <v>0</v>
      </c>
      <c r="E26" s="8" t="n">
        <v>132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Cesar Castillo</t>
        </is>
      </c>
      <c r="C27" s="11" t="n">
        <v>14</v>
      </c>
      <c r="D27" s="11" t="n">
        <v>0</v>
      </c>
      <c r="E27" s="12" t="n">
        <v>154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Fernando Verdugo</t>
        </is>
      </c>
      <c r="C28" s="7" t="n">
        <v>12</v>
      </c>
      <c r="D28" s="7" t="n">
        <v>0</v>
      </c>
      <c r="E28" s="8" t="n">
        <v>132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Guadalupe Ibarra</t>
        </is>
      </c>
      <c r="C29" s="11" t="n">
        <v>12</v>
      </c>
      <c r="D29" s="11" t="n">
        <v>0</v>
      </c>
      <c r="E29" s="12" t="n">
        <v>132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Hazar Trejo</t>
        </is>
      </c>
      <c r="C30" s="7" t="n">
        <v>12</v>
      </c>
      <c r="D30" s="7" t="n">
        <v>0</v>
      </c>
      <c r="E30" s="8" t="n">
        <v>132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Jaqueline Cortes</t>
        </is>
      </c>
      <c r="C31" s="11" t="n">
        <v>13</v>
      </c>
      <c r="D31" s="11" t="n">
        <v>0</v>
      </c>
      <c r="E31" s="12" t="n">
        <v>143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Jesus Elguera</t>
        </is>
      </c>
      <c r="C32" s="7" t="n">
        <v>10</v>
      </c>
      <c r="D32" s="7" t="n">
        <v>0</v>
      </c>
      <c r="E32" s="8" t="n">
        <v>110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Luis Neri</t>
        </is>
      </c>
      <c r="C33" s="11" t="n">
        <v>15</v>
      </c>
      <c r="D33" s="11" t="n">
        <v>0</v>
      </c>
      <c r="E33" s="12" t="n">
        <v>165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Luis Quevedo</t>
        </is>
      </c>
      <c r="C34" s="7" t="n">
        <v>14</v>
      </c>
      <c r="D34" s="7" t="n">
        <v>0</v>
      </c>
      <c r="E34" s="8" t="n">
        <v>154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Maria Sanchez</t>
        </is>
      </c>
      <c r="C35" s="11" t="n">
        <v>16</v>
      </c>
      <c r="D35" s="11" t="n">
        <v>0</v>
      </c>
      <c r="E35" s="12" t="n">
        <v>176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187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132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19/09/2026 15:31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38458</t>
        </is>
      </c>
      <c r="C5" s="12" t="inlineStr">
        <is>
          <t>El Rosario</t>
        </is>
      </c>
      <c r="D5" s="12" t="inlineStr">
        <is>
          <t>Yazmin Chabela Guadarrama</t>
        </is>
      </c>
      <c r="E5" s="11" t="n">
        <v>9</v>
      </c>
      <c r="F5" s="11" t="n">
        <v>2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38862</t>
        </is>
      </c>
      <c r="C6" s="8" t="inlineStr">
        <is>
          <t>San Miguel Izcalli</t>
        </is>
      </c>
      <c r="D6" s="8" t="inlineStr">
        <is>
          <t>Enrique Cesar Flores</t>
        </is>
      </c>
      <c r="E6" s="7" t="n">
        <v>9</v>
      </c>
      <c r="F6" s="7" t="n">
        <v>2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38475</t>
        </is>
      </c>
      <c r="C7" s="12" t="inlineStr">
        <is>
          <t>Satelite Centro Civico</t>
        </is>
      </c>
      <c r="D7" s="12" t="inlineStr">
        <is>
          <t>Yazmin Chabela Guadarrama</t>
        </is>
      </c>
      <c r="E7" s="11" t="n">
        <v>9</v>
      </c>
      <c r="F7" s="11" t="n">
        <v>2</v>
      </c>
      <c r="G7" s="13">
        <f>IFERROR(E7/(E7+F7),0)</f>
        <v/>
      </c>
      <c r="H7" s="16" t="inlineStr">
        <is>
          <t>En meta</t>
        </is>
      </c>
      <c r="I7" s="16" t="inlineStr">
        <is>
          <t>Mantener estándar</t>
        </is>
      </c>
    </row>
    <row r="8" ht="21" customHeight="1">
      <c r="A8" s="7" t="n">
        <v>4</v>
      </c>
      <c r="B8" s="17" t="inlineStr">
        <is>
          <t>38117</t>
        </is>
      </c>
      <c r="C8" s="8" t="inlineStr">
        <is>
          <t>Satelite</t>
        </is>
      </c>
      <c r="D8" s="8" t="inlineStr">
        <is>
          <t>Yazmin Chabela Guadarrama</t>
        </is>
      </c>
      <c r="E8" s="7" t="n">
        <v>8</v>
      </c>
      <c r="F8" s="7" t="n">
        <v>2</v>
      </c>
      <c r="G8" s="9">
        <f>IFERROR(E8/(E8+F8),0)</f>
        <v/>
      </c>
      <c r="H8" s="16" t="inlineStr">
        <is>
          <t>En meta</t>
        </is>
      </c>
      <c r="I8" s="16" t="inlineStr">
        <is>
          <t>Mantener estándar</t>
        </is>
      </c>
    </row>
    <row r="9" ht="21" customHeight="1">
      <c r="A9" s="11" t="n">
        <v>5</v>
      </c>
      <c r="B9" s="15" t="inlineStr">
        <is>
          <t>38197</t>
        </is>
      </c>
      <c r="C9" s="12" t="inlineStr">
        <is>
          <t>Echegaray</t>
        </is>
      </c>
      <c r="D9" s="12" t="inlineStr">
        <is>
          <t>Yazmin Chabela Guadarrama</t>
        </is>
      </c>
      <c r="E9" s="11" t="n">
        <v>8</v>
      </c>
      <c r="F9" s="11" t="n">
        <v>3</v>
      </c>
      <c r="G9" s="13">
        <f>IFERROR(E9/(E9+F9),0)</f>
        <v/>
      </c>
      <c r="H9" s="10" t="inlineStr">
        <is>
          <t>Seguimiento</t>
        </is>
      </c>
      <c r="I9" s="10" t="inlineStr">
        <is>
          <t>Dar seguimiento</t>
        </is>
      </c>
    </row>
    <row r="10" ht="21" customHeight="1">
      <c r="A10" s="7" t="n">
        <v>6</v>
      </c>
      <c r="B10" s="17" t="inlineStr">
        <is>
          <t>38561</t>
        </is>
      </c>
      <c r="C10" s="8" t="inlineStr">
        <is>
          <t>Parque Toreo</t>
        </is>
      </c>
      <c r="D10" s="8" t="inlineStr">
        <is>
          <t>Yazmin Chabela Guadarrama</t>
        </is>
      </c>
      <c r="E10" s="7" t="n">
        <v>8</v>
      </c>
      <c r="F10" s="7" t="n">
        <v>3</v>
      </c>
      <c r="G10" s="9">
        <f>IFERROR(E10/(E10+F10),0)</f>
        <v/>
      </c>
      <c r="H10" s="10" t="inlineStr">
        <is>
          <t>Seguimiento</t>
        </is>
      </c>
      <c r="I10" s="10" t="inlineStr">
        <is>
          <t>Dar seguimiento</t>
        </is>
      </c>
    </row>
    <row r="11" ht="21" customHeight="1">
      <c r="A11" s="11" t="n">
        <v>7</v>
      </c>
      <c r="B11" s="15" t="inlineStr">
        <is>
          <t>38136</t>
        </is>
      </c>
      <c r="C11" s="12" t="inlineStr">
        <is>
          <t>Punta Norte</t>
        </is>
      </c>
      <c r="D11" s="12" t="inlineStr">
        <is>
          <t>Nancy Carolina Rodriguez Medina</t>
        </is>
      </c>
      <c r="E11" s="11" t="n">
        <v>8</v>
      </c>
      <c r="F11" s="11" t="n">
        <v>3</v>
      </c>
      <c r="G11" s="13">
        <f>IFERROR(E11/(E11+F11),0)</f>
        <v/>
      </c>
      <c r="H11" s="10" t="inlineStr">
        <is>
          <t>Seguimiento</t>
        </is>
      </c>
      <c r="I11" s="10" t="inlineStr">
        <is>
          <t>Dar seguimiento</t>
        </is>
      </c>
    </row>
    <row r="12" ht="21" customHeight="1">
      <c r="A12" s="7" t="n">
        <v>8</v>
      </c>
      <c r="B12" s="17" t="inlineStr">
        <is>
          <t>38186</t>
        </is>
      </c>
      <c r="C12" s="8" t="inlineStr">
        <is>
          <t>Arboledas</t>
        </is>
      </c>
      <c r="D12" s="8" t="inlineStr">
        <is>
          <t>Nancy Carolina Rodriguez Medina</t>
        </is>
      </c>
      <c r="E12" s="7" t="n">
        <v>7</v>
      </c>
      <c r="F12" s="7" t="n">
        <v>3</v>
      </c>
      <c r="G12" s="9">
        <f>IFERROR(E12/(E12+F12),0)</f>
        <v/>
      </c>
      <c r="H12" s="10" t="inlineStr">
        <is>
          <t>Seguimiento</t>
        </is>
      </c>
      <c r="I12" s="10" t="inlineStr">
        <is>
          <t>Dar seguimiento</t>
        </is>
      </c>
    </row>
    <row r="13" ht="21" customHeight="1">
      <c r="A13" s="11" t="n">
        <v>9</v>
      </c>
      <c r="B13" s="15" t="inlineStr">
        <is>
          <t>38604</t>
        </is>
      </c>
      <c r="C13" s="12" t="inlineStr">
        <is>
          <t>Cosmopol</t>
        </is>
      </c>
      <c r="D13" s="12" t="inlineStr">
        <is>
          <t>Enrique Cesar Flores</t>
        </is>
      </c>
      <c r="E13" s="11" t="n">
        <v>7</v>
      </c>
      <c r="F13" s="11" t="n">
        <v>3</v>
      </c>
      <c r="G13" s="13">
        <f>IFERROR(E13/(E13+F13),0)</f>
        <v/>
      </c>
      <c r="H13" s="10" t="inlineStr">
        <is>
          <t>Seguimiento</t>
        </is>
      </c>
      <c r="I13" s="10" t="inlineStr">
        <is>
          <t>Dar seguimiento</t>
        </is>
      </c>
    </row>
    <row r="14" ht="21" customHeight="1">
      <c r="A14" s="7" t="n">
        <v>10</v>
      </c>
      <c r="B14" s="17" t="inlineStr">
        <is>
          <t>43193</t>
        </is>
      </c>
      <c r="C14" s="8" t="inlineStr">
        <is>
          <t>Cosmopol N1</t>
        </is>
      </c>
      <c r="D14" s="8" t="inlineStr">
        <is>
          <t>Enrique Cesar Flores</t>
        </is>
      </c>
      <c r="E14" s="7" t="n">
        <v>7</v>
      </c>
      <c r="F14" s="7" t="n">
        <v>3</v>
      </c>
      <c r="G14" s="9">
        <f>IFERROR(E14/(E14+F14),0)</f>
        <v/>
      </c>
      <c r="H14" s="10" t="inlineStr">
        <is>
          <t>Seguimiento</t>
        </is>
      </c>
      <c r="I14" s="10" t="inlineStr">
        <is>
          <t>Dar seguimiento</t>
        </is>
      </c>
    </row>
    <row r="15" ht="21" customHeight="1">
      <c r="A15" s="11" t="n">
        <v>11</v>
      </c>
      <c r="B15" s="15" t="inlineStr">
        <is>
          <t>38859</t>
        </is>
      </c>
      <c r="C15" s="12" t="inlineStr">
        <is>
          <t>Plaza Satelite II N1</t>
        </is>
      </c>
      <c r="D15" s="12" t="inlineStr">
        <is>
          <t>Yazmin Chabela Guadarrama</t>
        </is>
      </c>
      <c r="E15" s="11" t="n">
        <v>7</v>
      </c>
      <c r="F15" s="11" t="n">
        <v>3</v>
      </c>
      <c r="G15" s="13">
        <f>IFERROR(E15/(E15+F15),0)</f>
        <v/>
      </c>
      <c r="H15" s="10" t="inlineStr">
        <is>
          <t>Seguimiento</t>
        </is>
      </c>
      <c r="I15" s="10" t="inlineStr">
        <is>
          <t>Dar seguimiento</t>
        </is>
      </c>
    </row>
    <row r="16" ht="21" customHeight="1">
      <c r="A16" s="7" t="n">
        <v>12</v>
      </c>
      <c r="B16" s="17" t="inlineStr">
        <is>
          <t>38456</t>
        </is>
      </c>
      <c r="C16" s="8" t="inlineStr">
        <is>
          <t>Plaza las Flores</t>
        </is>
      </c>
      <c r="D16" s="8" t="inlineStr">
        <is>
          <t>Enrique Cesar Flores</t>
        </is>
      </c>
      <c r="E16" s="7" t="n">
        <v>7</v>
      </c>
      <c r="F16" s="7" t="n">
        <v>3</v>
      </c>
      <c r="G16" s="9">
        <f>IFERROR(E16/(E16+F16),0)</f>
        <v/>
      </c>
      <c r="H16" s="10" t="inlineStr">
        <is>
          <t>Seguimiento</t>
        </is>
      </c>
      <c r="I16" s="10" t="inlineStr">
        <is>
          <t>Dar seguimiento</t>
        </is>
      </c>
    </row>
    <row r="17" ht="21" customHeight="1">
      <c r="A17" s="11" t="n">
        <v>13</v>
      </c>
      <c r="B17" s="15" t="inlineStr">
        <is>
          <t>38230</t>
        </is>
      </c>
      <c r="C17" s="12" t="inlineStr">
        <is>
          <t>ITEMS Edo de Mexico</t>
        </is>
      </c>
      <c r="D17" s="12" t="inlineStr">
        <is>
          <t>Nancy Carolina Rodriguez Medina</t>
        </is>
      </c>
      <c r="E17" s="11" t="n">
        <v>7</v>
      </c>
      <c r="F17" s="11" t="n">
        <v>4</v>
      </c>
      <c r="G17" s="13">
        <f>IFERROR(E17/(E17+F17),0)</f>
        <v/>
      </c>
      <c r="H17" s="10" t="inlineStr">
        <is>
          <t>Seguimiento</t>
        </is>
      </c>
      <c r="I17" s="10" t="inlineStr">
        <is>
          <t>Dar seguimiento</t>
        </is>
      </c>
    </row>
    <row r="18" ht="21" customHeight="1">
      <c r="A18" s="7" t="n">
        <v>14</v>
      </c>
      <c r="B18" s="17" t="inlineStr">
        <is>
          <t>38792</t>
        </is>
      </c>
      <c r="C18" s="8" t="inlineStr">
        <is>
          <t>Pasaje Tlanepantla</t>
        </is>
      </c>
      <c r="D18" s="8" t="inlineStr">
        <is>
          <t>Nancy Carolina Rodriguez Medina</t>
        </is>
      </c>
      <c r="E18" s="7" t="n">
        <v>7</v>
      </c>
      <c r="F18" s="7" t="n">
        <v>4</v>
      </c>
      <c r="G18" s="9">
        <f>IFERROR(E18/(E18+F18),0)</f>
        <v/>
      </c>
      <c r="H18" s="10" t="inlineStr">
        <is>
          <t>Seguimiento</t>
        </is>
      </c>
      <c r="I18" s="10" t="inlineStr">
        <is>
          <t>Dar seguimiento</t>
        </is>
      </c>
    </row>
    <row r="19" ht="21" customHeight="1">
      <c r="A19" s="11" t="n">
        <v>15</v>
      </c>
      <c r="B19" s="15" t="inlineStr">
        <is>
          <t>38515</t>
        </is>
      </c>
      <c r="C19" s="12" t="inlineStr">
        <is>
          <t>Patio Ecatepec</t>
        </is>
      </c>
      <c r="D19" s="12" t="inlineStr">
        <is>
          <t>Enrique Cesar Flores</t>
        </is>
      </c>
      <c r="E19" s="11" t="n">
        <v>7</v>
      </c>
      <c r="F19" s="11" t="n">
        <v>4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7" t="inlineStr">
        <is>
          <t>38606</t>
        </is>
      </c>
      <c r="C20" s="8" t="inlineStr">
        <is>
          <t>TlalnepantlaCarso</t>
        </is>
      </c>
      <c r="D20" s="8" t="inlineStr">
        <is>
          <t>Nancy Carolina Rodriguez Medina</t>
        </is>
      </c>
      <c r="E20" s="7" t="n">
        <v>7</v>
      </c>
      <c r="F20" s="7" t="n">
        <v>4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38590</t>
        </is>
      </c>
      <c r="C21" s="12" t="inlineStr">
        <is>
          <t>Parque Toreo II</t>
        </is>
      </c>
      <c r="D21" s="12" t="inlineStr">
        <is>
          <t>Yazmin Chabela Guadarrama</t>
        </is>
      </c>
      <c r="E21" s="11" t="n">
        <v>6</v>
      </c>
      <c r="F21" s="11" t="n">
        <v>4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7" t="inlineStr">
        <is>
          <t>38442</t>
        </is>
      </c>
      <c r="C22" s="8" t="inlineStr">
        <is>
          <t>Sor Juana</t>
        </is>
      </c>
      <c r="D22" s="8" t="inlineStr">
        <is>
          <t>Nancy Carolina Rodriguez Medina</t>
        </is>
      </c>
      <c r="E22" s="7" t="n">
        <v>6</v>
      </c>
      <c r="F22" s="7" t="n">
        <v>4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38695</t>
        </is>
      </c>
      <c r="C23" s="12" t="inlineStr">
        <is>
          <t>Cetram 4 Caminos</t>
        </is>
      </c>
      <c r="D23" s="12" t="inlineStr">
        <is>
          <t>Yazmin Chabela Guadarrama</t>
        </is>
      </c>
      <c r="E23" s="11" t="n">
        <v>6</v>
      </c>
      <c r="F23" s="11" t="n">
        <v>5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38401</t>
        </is>
      </c>
      <c r="C24" s="8" t="inlineStr">
        <is>
          <t>Coacalco</t>
        </is>
      </c>
      <c r="D24" s="8" t="inlineStr">
        <is>
          <t>Enrique Cesar Flores</t>
        </is>
      </c>
      <c r="E24" s="7" t="n">
        <v>6</v>
      </c>
      <c r="F24" s="7" t="n">
        <v>5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38894</t>
        </is>
      </c>
      <c r="C25" s="12" t="inlineStr">
        <is>
          <t>Galerias Perinorte</t>
        </is>
      </c>
      <c r="D25" s="12" t="inlineStr">
        <is>
          <t>Enrique Cesar Flores</t>
        </is>
      </c>
      <c r="E25" s="11" t="n">
        <v>6</v>
      </c>
      <c r="F25" s="11" t="n">
        <v>5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38770</t>
        </is>
      </c>
      <c r="C26" s="8" t="inlineStr">
        <is>
          <t>Gustavo Baz 29</t>
        </is>
      </c>
      <c r="D26" s="8" t="inlineStr">
        <is>
          <t>Yazmin Chabela Guadarrama</t>
        </is>
      </c>
      <c r="E26" s="7" t="n">
        <v>6</v>
      </c>
      <c r="F26" s="7" t="n">
        <v>5</v>
      </c>
      <c r="G26" s="9">
        <f>IFERROR(E26/(E26+F26),0)</f>
        <v/>
      </c>
      <c r="H26" s="10" t="inlineStr">
        <is>
          <t>Seguimiento</t>
        </is>
      </c>
      <c r="I26" s="10" t="inlineStr">
        <is>
          <t>Dar seguimiento</t>
        </is>
      </c>
    </row>
    <row r="27" ht="21" customHeight="1">
      <c r="A27" s="11" t="n">
        <v>23</v>
      </c>
      <c r="B27" s="15" t="inlineStr">
        <is>
          <t>38333</t>
        </is>
      </c>
      <c r="C27" s="12" t="inlineStr">
        <is>
          <t>Izcalli Mega</t>
        </is>
      </c>
      <c r="D27" s="12" t="inlineStr">
        <is>
          <t>Enrique Cesar Flores</t>
        </is>
      </c>
      <c r="E27" s="11" t="n">
        <v>6</v>
      </c>
      <c r="F27" s="11" t="n">
        <v>5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7" t="inlineStr">
        <is>
          <t>38368</t>
        </is>
      </c>
      <c r="C28" s="8" t="inlineStr">
        <is>
          <t>Luna Park</t>
        </is>
      </c>
      <c r="D28" s="8" t="inlineStr">
        <is>
          <t>Enrique Cesar Flores</t>
        </is>
      </c>
      <c r="E28" s="7" t="n">
        <v>6</v>
      </c>
      <c r="F28" s="7" t="n">
        <v>5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38674</t>
        </is>
      </c>
      <c r="C29" s="12" t="inlineStr">
        <is>
          <t>Mundo E</t>
        </is>
      </c>
      <c r="D29" s="12" t="inlineStr">
        <is>
          <t>Nancy Carolina Rodriguez Medina</t>
        </is>
      </c>
      <c r="E29" s="11" t="n">
        <v>6</v>
      </c>
      <c r="F29" s="11" t="n">
        <v>5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7" t="inlineStr">
        <is>
          <t>38661</t>
        </is>
      </c>
      <c r="C30" s="8" t="inlineStr">
        <is>
          <t>Jinetes</t>
        </is>
      </c>
      <c r="D30" s="8" t="inlineStr">
        <is>
          <t>Nancy Carolina Rodriguez Medina</t>
        </is>
      </c>
      <c r="E30" s="7" t="n">
        <v>5</v>
      </c>
      <c r="F30" s="7" t="n">
        <v>5</v>
      </c>
      <c r="G30" s="9">
        <f>IFERROR(E30/(E30+F30),0)</f>
        <v/>
      </c>
      <c r="H30" s="10" t="inlineStr">
        <is>
          <t>Seguimiento</t>
        </is>
      </c>
      <c r="I30" s="10" t="inlineStr">
        <is>
          <t>Dar seguimiento</t>
        </is>
      </c>
    </row>
    <row r="31" ht="21" customHeight="1">
      <c r="A31" s="11" t="n">
        <v>27</v>
      </c>
      <c r="B31" s="15" t="inlineStr">
        <is>
          <t>43152</t>
        </is>
      </c>
      <c r="C31" s="12" t="inlineStr">
        <is>
          <t>Samara Satélite</t>
        </is>
      </c>
      <c r="D31" s="12" t="inlineStr">
        <is>
          <t>Yazmin Chabela Guadarrama</t>
        </is>
      </c>
      <c r="E31" s="11" t="n">
        <v>5</v>
      </c>
      <c r="F31" s="11" t="n">
        <v>5</v>
      </c>
      <c r="G31" s="13">
        <f>IFERROR(E31/(E31+F31),0)</f>
        <v/>
      </c>
      <c r="H31" s="10" t="inlineStr">
        <is>
          <t>Seguimiento</t>
        </is>
      </c>
      <c r="I31" s="10" t="inlineStr">
        <is>
          <t>Dar seguimiento</t>
        </is>
      </c>
    </row>
    <row r="32" ht="21" customHeight="1">
      <c r="A32" s="7" t="n">
        <v>28</v>
      </c>
      <c r="B32" s="17" t="inlineStr">
        <is>
          <t>38903</t>
        </is>
      </c>
      <c r="C32" s="8" t="inlineStr">
        <is>
          <t>Encuentro Oceania</t>
        </is>
      </c>
      <c r="D32" s="8" t="inlineStr">
        <is>
          <t>Veronica Garcia Ortega</t>
        </is>
      </c>
      <c r="E32" s="7" t="n">
        <v>5</v>
      </c>
      <c r="F32" s="7" t="n">
        <v>6</v>
      </c>
      <c r="G32" s="9">
        <f>IFERROR(E32/(E32+F32),0)</f>
        <v/>
      </c>
      <c r="H32" s="10" t="inlineStr">
        <is>
          <t>Seguimiento</t>
        </is>
      </c>
      <c r="I32" s="10" t="inlineStr">
        <is>
          <t>Dar seguimiento</t>
        </is>
      </c>
    </row>
    <row r="33" ht="21" customHeight="1">
      <c r="A33" s="11" t="n">
        <v>29</v>
      </c>
      <c r="B33" s="15" t="inlineStr">
        <is>
          <t>38371</t>
        </is>
      </c>
      <c r="C33" s="12" t="inlineStr">
        <is>
          <t>Montevideo DT</t>
        </is>
      </c>
      <c r="D33" s="12" t="inlineStr">
        <is>
          <t>Vanessa Carreño Rios</t>
        </is>
      </c>
      <c r="E33" s="11" t="n">
        <v>5</v>
      </c>
      <c r="F33" s="11" t="n">
        <v>6</v>
      </c>
      <c r="G33" s="13">
        <f>IFERROR(E33/(E33+F33),0)</f>
        <v/>
      </c>
      <c r="H33" s="10" t="inlineStr">
        <is>
          <t>Seguimiento</t>
        </is>
      </c>
      <c r="I33" s="10" t="inlineStr">
        <is>
          <t>Dar seguimiento</t>
        </is>
      </c>
    </row>
    <row r="34" ht="21" customHeight="1">
      <c r="A34" s="7" t="n">
        <v>30</v>
      </c>
      <c r="B34" s="17" t="inlineStr">
        <is>
          <t>38176</t>
        </is>
      </c>
      <c r="C34" s="8" t="inlineStr">
        <is>
          <t>Periferico Satélite DT</t>
        </is>
      </c>
      <c r="D34" s="8" t="inlineStr">
        <is>
          <t>Yazmin Chabela Guadarrama</t>
        </is>
      </c>
      <c r="E34" s="7" t="n">
        <v>5</v>
      </c>
      <c r="F34" s="7" t="n">
        <v>6</v>
      </c>
      <c r="G34" s="9">
        <f>IFERROR(E34/(E34+F34),0)</f>
        <v/>
      </c>
      <c r="H34" s="10" t="inlineStr">
        <is>
          <t>Seguimiento</t>
        </is>
      </c>
      <c r="I34" s="10" t="inlineStr">
        <is>
          <t>Dar seguimiento</t>
        </is>
      </c>
    </row>
    <row r="35" ht="21" customHeight="1">
      <c r="A35" s="11" t="n">
        <v>31</v>
      </c>
      <c r="B35" s="15" t="inlineStr">
        <is>
          <t>38719</t>
        </is>
      </c>
      <c r="C35" s="12" t="inlineStr">
        <is>
          <t>Plaza Fortuna</t>
        </is>
      </c>
      <c r="D35" s="12" t="inlineStr">
        <is>
          <t>Veronica Garcia Ortega</t>
        </is>
      </c>
      <c r="E35" s="11" t="n">
        <v>5</v>
      </c>
      <c r="F35" s="11" t="n">
        <v>6</v>
      </c>
      <c r="G35" s="13">
        <f>IFERROR(E35/(E35+F35),0)</f>
        <v/>
      </c>
      <c r="H35" s="10" t="inlineStr">
        <is>
          <t>Seguimiento</t>
        </is>
      </c>
      <c r="I35" s="10" t="inlineStr">
        <is>
          <t>Dar seguimiento</t>
        </is>
      </c>
    </row>
    <row r="36" ht="21" customHeight="1">
      <c r="A36" s="7" t="n">
        <v>32</v>
      </c>
      <c r="B36" s="17" t="inlineStr">
        <is>
          <t>38427</t>
        </is>
      </c>
      <c r="C36" s="8" t="inlineStr">
        <is>
          <t>Plaza Satelite</t>
        </is>
      </c>
      <c r="D36" s="8" t="inlineStr">
        <is>
          <t>Yazmin Chabela Guadarrama</t>
        </is>
      </c>
      <c r="E36" s="7" t="n">
        <v>5</v>
      </c>
      <c r="F36" s="7" t="n">
        <v>6</v>
      </c>
      <c r="G36" s="9">
        <f>IFERROR(E36/(E36+F36),0)</f>
        <v/>
      </c>
      <c r="H36" s="10" t="inlineStr">
        <is>
          <t>Seguimiento</t>
        </is>
      </c>
      <c r="I36" s="10" t="inlineStr">
        <is>
          <t>Dar seguimiento</t>
        </is>
      </c>
    </row>
    <row r="37" ht="21" customHeight="1">
      <c r="A37" s="11" t="n">
        <v>33</v>
      </c>
      <c r="B37" s="15" t="inlineStr">
        <is>
          <t>38339</t>
        </is>
      </c>
      <c r="C37" s="12" t="inlineStr">
        <is>
          <t>San Marcos</t>
        </is>
      </c>
      <c r="D37" s="12" t="inlineStr">
        <is>
          <t>Enrique Cesar Flores</t>
        </is>
      </c>
      <c r="E37" s="11" t="n">
        <v>5</v>
      </c>
      <c r="F37" s="11" t="n">
        <v>6</v>
      </c>
      <c r="G37" s="13">
        <f>IFERROR(E37/(E37+F37),0)</f>
        <v/>
      </c>
      <c r="H37" s="10" t="inlineStr">
        <is>
          <t>Seguimiento</t>
        </is>
      </c>
      <c r="I37" s="10" t="inlineStr">
        <is>
          <t>Dar seguimiento</t>
        </is>
      </c>
    </row>
    <row r="38" ht="21" customHeight="1">
      <c r="A38" s="7" t="n">
        <v>34</v>
      </c>
      <c r="B38" s="17" t="inlineStr">
        <is>
          <t>38656</t>
        </is>
      </c>
      <c r="C38" s="8" t="inlineStr">
        <is>
          <t>Viveros de la Loma</t>
        </is>
      </c>
      <c r="D38" s="8" t="inlineStr">
        <is>
          <t>Yazmin Chabela Guadarrama</t>
        </is>
      </c>
      <c r="E38" s="7" t="n">
        <v>5</v>
      </c>
      <c r="F38" s="7" t="n">
        <v>6</v>
      </c>
      <c r="G38" s="9">
        <f>IFERROR(E38/(E38+F38),0)</f>
        <v/>
      </c>
      <c r="H38" s="10" t="inlineStr">
        <is>
          <t>Seguimiento</t>
        </is>
      </c>
      <c r="I38" s="10" t="inlineStr">
        <is>
          <t>Dar seguimiento</t>
        </is>
      </c>
    </row>
    <row r="39" ht="21" customHeight="1">
      <c r="A39" s="11" t="n">
        <v>35</v>
      </c>
      <c r="B39" s="15" t="inlineStr">
        <is>
          <t>43043</t>
        </is>
      </c>
      <c r="C39" s="12" t="inlineStr">
        <is>
          <t>Atizapan</t>
        </is>
      </c>
      <c r="D39" s="12" t="inlineStr">
        <is>
          <t>Yazmin Haydee Garcia Gonzalez</t>
        </is>
      </c>
      <c r="E39" s="11" t="n">
        <v>4</v>
      </c>
      <c r="F39" s="11" t="n">
        <v>7</v>
      </c>
      <c r="G39" s="13">
        <f>IFERROR(E39/(E39+F39),0)</f>
        <v/>
      </c>
      <c r="H39" s="14" t="inlineStr">
        <is>
          <t>Atención</t>
        </is>
      </c>
      <c r="I39" s="14" t="inlineStr">
        <is>
          <t>Priorizar hoy</t>
        </is>
      </c>
    </row>
    <row r="40" ht="21" customHeight="1">
      <c r="A40" s="7" t="n">
        <v>36</v>
      </c>
      <c r="B40" s="17" t="inlineStr">
        <is>
          <t>38374</t>
        </is>
      </c>
      <c r="C40" s="8" t="inlineStr">
        <is>
          <t>Valle Dorado</t>
        </is>
      </c>
      <c r="D40" s="8" t="inlineStr">
        <is>
          <t>Nancy Carolina Rodriguez Medina</t>
        </is>
      </c>
      <c r="E40" s="7" t="n">
        <v>4</v>
      </c>
      <c r="F40" s="7" t="n">
        <v>7</v>
      </c>
      <c r="G40" s="9">
        <f>IFERROR(E40/(E40+F40),0)</f>
        <v/>
      </c>
      <c r="H40" s="14" t="inlineStr">
        <is>
          <t>Atención</t>
        </is>
      </c>
      <c r="I40" s="14" t="inlineStr">
        <is>
          <t>Priorizar hoy</t>
        </is>
      </c>
    </row>
    <row r="41" ht="21" customHeight="1">
      <c r="A41" s="11" t="n">
        <v>37</v>
      </c>
      <c r="B41" s="15" t="inlineStr">
        <is>
          <t>38965</t>
        </is>
      </c>
      <c r="C41" s="12" t="inlineStr">
        <is>
          <t>Parque Tepeyac Piso 2</t>
        </is>
      </c>
      <c r="D41" s="12" t="inlineStr">
        <is>
          <t>Veronica Garcia Ortega</t>
        </is>
      </c>
      <c r="E41" s="11" t="n">
        <v>3</v>
      </c>
      <c r="F41" s="11" t="n">
        <v>7</v>
      </c>
      <c r="G41" s="13">
        <f>IFERROR(E41/(E41+F41),0)</f>
        <v/>
      </c>
      <c r="H41" s="14" t="inlineStr">
        <is>
          <t>Atención</t>
        </is>
      </c>
      <c r="I41" s="14" t="inlineStr">
        <is>
          <t>Priorizar hoy</t>
        </is>
      </c>
    </row>
    <row r="42" ht="21" customHeight="1">
      <c r="A42" s="7" t="n">
        <v>38</v>
      </c>
      <c r="B42" s="17" t="inlineStr">
        <is>
          <t>38535</t>
        </is>
      </c>
      <c r="C42" s="8" t="inlineStr">
        <is>
          <t>City Center Esmeralda</t>
        </is>
      </c>
      <c r="D42" s="8" t="inlineStr">
        <is>
          <t>Yazmin Haydee Garcia Gonzalez</t>
        </is>
      </c>
      <c r="E42" s="7" t="n">
        <v>3</v>
      </c>
      <c r="F42" s="7" t="n">
        <v>8</v>
      </c>
      <c r="G42" s="9">
        <f>IFERROR(E42/(E42+F42),0)</f>
        <v/>
      </c>
      <c r="H42" s="14" t="inlineStr">
        <is>
          <t>Atención</t>
        </is>
      </c>
      <c r="I42" s="14" t="inlineStr">
        <is>
          <t>Priorizar hoy</t>
        </is>
      </c>
    </row>
    <row r="43" ht="21" customHeight="1">
      <c r="A43" s="11" t="n">
        <v>39</v>
      </c>
      <c r="B43" s="15" t="inlineStr">
        <is>
          <t>38431</t>
        </is>
      </c>
      <c r="C43" s="12" t="inlineStr">
        <is>
          <t>Eduardo Molina</t>
        </is>
      </c>
      <c r="D43" s="12" t="inlineStr">
        <is>
          <t>Veronica Garcia Ortega</t>
        </is>
      </c>
      <c r="E43" s="11" t="n">
        <v>3</v>
      </c>
      <c r="F43" s="11" t="n">
        <v>8</v>
      </c>
      <c r="G43" s="13">
        <f>IFERROR(E43/(E43+F43),0)</f>
        <v/>
      </c>
      <c r="H43" s="14" t="inlineStr">
        <is>
          <t>Atención</t>
        </is>
      </c>
      <c r="I43" s="14" t="inlineStr">
        <is>
          <t>Priorizar hoy</t>
        </is>
      </c>
    </row>
    <row r="44" ht="21" customHeight="1">
      <c r="A44" s="7" t="n">
        <v>40</v>
      </c>
      <c r="B44" s="17" t="inlineStr">
        <is>
          <t>38995</t>
        </is>
      </c>
      <c r="C44" s="8" t="inlineStr">
        <is>
          <t>Encuentro Oceania II</t>
        </is>
      </c>
      <c r="D44" s="8" t="inlineStr">
        <is>
          <t>Veronica Garcia Ortega</t>
        </is>
      </c>
      <c r="E44" s="7" t="n">
        <v>3</v>
      </c>
      <c r="F44" s="7" t="n">
        <v>8</v>
      </c>
      <c r="G44" s="9">
        <f>IFERROR(E44/(E44+F44),0)</f>
        <v/>
      </c>
      <c r="H44" s="14" t="inlineStr">
        <is>
          <t>Atención</t>
        </is>
      </c>
      <c r="I44" s="14" t="inlineStr">
        <is>
          <t>Priorizar hoy</t>
        </is>
      </c>
    </row>
    <row r="45" ht="21" customHeight="1">
      <c r="A45" s="11" t="n">
        <v>41</v>
      </c>
      <c r="B45" s="15" t="inlineStr">
        <is>
          <t>38270</t>
        </is>
      </c>
      <c r="C45" s="12" t="inlineStr">
        <is>
          <t>Lomas Verdes II</t>
        </is>
      </c>
      <c r="D45" s="12" t="inlineStr">
        <is>
          <t>Yazmin Haydee Garcia Gonzalez</t>
        </is>
      </c>
      <c r="E45" s="11" t="n">
        <v>3</v>
      </c>
      <c r="F45" s="11" t="n">
        <v>8</v>
      </c>
      <c r="G45" s="13">
        <f>IFERROR(E45/(E45+F45),0)</f>
        <v/>
      </c>
      <c r="H45" s="14" t="inlineStr">
        <is>
          <t>Atención</t>
        </is>
      </c>
      <c r="I45" s="14" t="inlineStr">
        <is>
          <t>Priorizar hoy</t>
        </is>
      </c>
    </row>
    <row r="46" ht="21" customHeight="1">
      <c r="A46" s="7" t="n">
        <v>42</v>
      </c>
      <c r="B46" s="17" t="inlineStr">
        <is>
          <t>38937</t>
        </is>
      </c>
      <c r="C46" s="8" t="inlineStr">
        <is>
          <t>Parque Tepeyac Piso 1</t>
        </is>
      </c>
      <c r="D46" s="8" t="inlineStr">
        <is>
          <t>Veronica Garcia Ortega</t>
        </is>
      </c>
      <c r="E46" s="7" t="n">
        <v>3</v>
      </c>
      <c r="F46" s="7" t="n">
        <v>8</v>
      </c>
      <c r="G46" s="9">
        <f>IFERROR(E46/(E46+F46),0)</f>
        <v/>
      </c>
      <c r="H46" s="14" t="inlineStr">
        <is>
          <t>Atención</t>
        </is>
      </c>
      <c r="I46" s="14" t="inlineStr">
        <is>
          <t>Priorizar hoy</t>
        </is>
      </c>
    </row>
    <row r="47" ht="21" customHeight="1">
      <c r="A47" s="11" t="n">
        <v>43</v>
      </c>
      <c r="B47" s="15" t="inlineStr">
        <is>
          <t>38924</t>
        </is>
      </c>
      <c r="C47" s="12" t="inlineStr">
        <is>
          <t>Plaza Aeropuerto</t>
        </is>
      </c>
      <c r="D47" s="12" t="inlineStr">
        <is>
          <t>Veronica Garcia Ortega</t>
        </is>
      </c>
      <c r="E47" s="11" t="n">
        <v>3</v>
      </c>
      <c r="F47" s="11" t="n">
        <v>8</v>
      </c>
      <c r="G47" s="13">
        <f>IFERROR(E47/(E47+F47),0)</f>
        <v/>
      </c>
      <c r="H47" s="14" t="inlineStr">
        <is>
          <t>Atención</t>
        </is>
      </c>
      <c r="I47" s="14" t="inlineStr">
        <is>
          <t>Priorizar hoy</t>
        </is>
      </c>
    </row>
    <row r="48" ht="21" customHeight="1">
      <c r="A48" s="7" t="n">
        <v>44</v>
      </c>
      <c r="B48" s="17" t="inlineStr">
        <is>
          <t>38266</t>
        </is>
      </c>
      <c r="C48" s="8" t="inlineStr">
        <is>
          <t>San Mateo</t>
        </is>
      </c>
      <c r="D48" s="8" t="inlineStr">
        <is>
          <t>Yazmin Haydee Garcia Gonzalez</t>
        </is>
      </c>
      <c r="E48" s="7" t="n">
        <v>3</v>
      </c>
      <c r="F48" s="7" t="n">
        <v>8</v>
      </c>
      <c r="G48" s="9">
        <f>IFERROR(E48/(E48+F48),0)</f>
        <v/>
      </c>
      <c r="H48" s="14" t="inlineStr">
        <is>
          <t>Atención</t>
        </is>
      </c>
      <c r="I48" s="14" t="inlineStr">
        <is>
          <t>Priorizar hoy</t>
        </is>
      </c>
    </row>
    <row r="49" ht="21" customHeight="1">
      <c r="A49" s="11" t="n">
        <v>45</v>
      </c>
      <c r="B49" s="15" t="inlineStr">
        <is>
          <t>38925</t>
        </is>
      </c>
      <c r="C49" s="12" t="inlineStr">
        <is>
          <t>Star Medica Lomas Verdes</t>
        </is>
      </c>
      <c r="D49" s="12" t="inlineStr">
        <is>
          <t>Yazmin Haydee Garcia Gonzalez</t>
        </is>
      </c>
      <c r="E49" s="11" t="n">
        <v>3</v>
      </c>
      <c r="F49" s="11" t="n">
        <v>8</v>
      </c>
      <c r="G49" s="13">
        <f>IFERROR(E49/(E49+F49),0)</f>
        <v/>
      </c>
      <c r="H49" s="14" t="inlineStr">
        <is>
          <t>Atención</t>
        </is>
      </c>
      <c r="I49" s="14" t="inlineStr">
        <is>
          <t>Priorizar hoy</t>
        </is>
      </c>
    </row>
    <row r="50" ht="21" customHeight="1">
      <c r="A50" s="7" t="n">
        <v>46</v>
      </c>
      <c r="B50" s="17" t="inlineStr">
        <is>
          <t>38115</t>
        </is>
      </c>
      <c r="C50" s="8" t="inlineStr">
        <is>
          <t>Zona Azul</t>
        </is>
      </c>
      <c r="D50" s="8" t="inlineStr">
        <is>
          <t>Yazmin Haydee Garcia Gonzalez</t>
        </is>
      </c>
      <c r="E50" s="7" t="n">
        <v>3</v>
      </c>
      <c r="F50" s="7" t="n">
        <v>8</v>
      </c>
      <c r="G50" s="9">
        <f>IFERROR(E50/(E50+F50),0)</f>
        <v/>
      </c>
      <c r="H50" s="14" t="inlineStr">
        <is>
          <t>Atención</t>
        </is>
      </c>
      <c r="I50" s="14" t="inlineStr">
        <is>
          <t>Priorizar hoy</t>
        </is>
      </c>
    </row>
    <row r="51" ht="21" customHeight="1">
      <c r="A51" s="11" t="n">
        <v>47</v>
      </c>
      <c r="B51" s="15" t="inlineStr">
        <is>
          <t>38845</t>
        </is>
      </c>
      <c r="C51" s="12" t="inlineStr">
        <is>
          <t>Mundo E II</t>
        </is>
      </c>
      <c r="D51" s="12" t="inlineStr">
        <is>
          <t>Nancy Carolina Rodriguez Medina</t>
        </is>
      </c>
      <c r="E51" s="11" t="n">
        <v>2</v>
      </c>
      <c r="F51" s="11" t="n">
        <v>7</v>
      </c>
      <c r="G51" s="13">
        <f>IFERROR(E51/(E51+F51),0)</f>
        <v/>
      </c>
      <c r="H51" s="14" t="inlineStr">
        <is>
          <t>Atención</t>
        </is>
      </c>
      <c r="I51" s="14" t="inlineStr">
        <is>
          <t>Priorizar hoy</t>
        </is>
      </c>
    </row>
    <row r="52" ht="21" customHeight="1">
      <c r="A52" s="7" t="n">
        <v>48</v>
      </c>
      <c r="B52" s="17" t="inlineStr">
        <is>
          <t>38529</t>
        </is>
      </c>
      <c r="C52" s="8" t="inlineStr">
        <is>
          <t>Bosques de Aragon</t>
        </is>
      </c>
      <c r="D52" s="8" t="inlineStr">
        <is>
          <t>Veronica Garcia Ortega</t>
        </is>
      </c>
      <c r="E52" s="7" t="n">
        <v>2</v>
      </c>
      <c r="F52" s="7" t="n">
        <v>8</v>
      </c>
      <c r="G52" s="9">
        <f>IFERROR(E52/(E52+F52),0)</f>
        <v/>
      </c>
      <c r="H52" s="14" t="inlineStr">
        <is>
          <t>Atención</t>
        </is>
      </c>
      <c r="I52" s="14" t="inlineStr">
        <is>
          <t>Priorizar hoy</t>
        </is>
      </c>
    </row>
    <row r="53" ht="21" customHeight="1">
      <c r="A53" s="11" t="n">
        <v>49</v>
      </c>
      <c r="B53" s="15" t="inlineStr">
        <is>
          <t>38149</t>
        </is>
      </c>
      <c r="C53" s="12" t="inlineStr">
        <is>
          <t>Bellavista</t>
        </is>
      </c>
      <c r="D53" s="12" t="inlineStr">
        <is>
          <t>Yazmin Haydee Garcia Gonzalez</t>
        </is>
      </c>
      <c r="E53" s="11" t="n">
        <v>2</v>
      </c>
      <c r="F53" s="11" t="n">
        <v>9</v>
      </c>
      <c r="G53" s="13">
        <f>IFERROR(E53/(E53+F53),0)</f>
        <v/>
      </c>
      <c r="H53" s="14" t="inlineStr">
        <is>
          <t>Atención</t>
        </is>
      </c>
      <c r="I53" s="14" t="inlineStr">
        <is>
          <t>Priorizar hoy</t>
        </is>
      </c>
    </row>
    <row r="54" ht="21" customHeight="1">
      <c r="A54" s="7" t="n">
        <v>50</v>
      </c>
      <c r="B54" s="17" t="inlineStr">
        <is>
          <t>38930</t>
        </is>
      </c>
      <c r="C54" s="8" t="inlineStr">
        <is>
          <t>Blvd. Aeropuerto dt</t>
        </is>
      </c>
      <c r="D54" s="8" t="inlineStr">
        <is>
          <t>Veronica Garcia Ortega</t>
        </is>
      </c>
      <c r="E54" s="7" t="n">
        <v>2</v>
      </c>
      <c r="F54" s="7" t="n">
        <v>9</v>
      </c>
      <c r="G54" s="9">
        <f>IFERROR(E54/(E54+F54),0)</f>
        <v/>
      </c>
      <c r="H54" s="14" t="inlineStr">
        <is>
          <t>Atención</t>
        </is>
      </c>
      <c r="I54" s="14" t="inlineStr">
        <is>
          <t>Priorizar hoy</t>
        </is>
      </c>
    </row>
    <row r="55" ht="21" customHeight="1">
      <c r="A55" s="11" t="n">
        <v>51</v>
      </c>
      <c r="B55" s="15" t="inlineStr">
        <is>
          <t>38394</t>
        </is>
      </c>
      <c r="C55" s="12" t="inlineStr">
        <is>
          <t>Centro Comercial Lomas Verdes</t>
        </is>
      </c>
      <c r="D55" s="12" t="inlineStr">
        <is>
          <t>Yazmin Haydee Garcia Gonzalez</t>
        </is>
      </c>
      <c r="E55" s="11" t="n">
        <v>2</v>
      </c>
      <c r="F55" s="11" t="n">
        <v>9</v>
      </c>
      <c r="G55" s="13">
        <f>IFERROR(E55/(E55+F55),0)</f>
        <v/>
      </c>
      <c r="H55" s="14" t="inlineStr">
        <is>
          <t>Atención</t>
        </is>
      </c>
      <c r="I55" s="14" t="inlineStr">
        <is>
          <t>Priorizar hoy</t>
        </is>
      </c>
    </row>
    <row r="56" ht="21" customHeight="1">
      <c r="A56" s="7" t="n">
        <v>52</v>
      </c>
      <c r="B56" s="17" t="inlineStr">
        <is>
          <t>38727</t>
        </is>
      </c>
      <c r="C56" s="8" t="inlineStr">
        <is>
          <t>Centro Tk</t>
        </is>
      </c>
      <c r="D56" s="8" t="inlineStr">
        <is>
          <t>Manuel Alejandro Avila Molina</t>
        </is>
      </c>
      <c r="E56" s="7" t="n">
        <v>2</v>
      </c>
      <c r="F56" s="7" t="n">
        <v>9</v>
      </c>
      <c r="G56" s="9">
        <f>IFERROR(E56/(E56+F56),0)</f>
        <v/>
      </c>
      <c r="H56" s="14" t="inlineStr">
        <is>
          <t>Atención</t>
        </is>
      </c>
      <c r="I56" s="14" t="inlineStr">
        <is>
          <t>Priorizar hoy</t>
        </is>
      </c>
    </row>
    <row r="57" ht="21" customHeight="1">
      <c r="A57" s="11" t="n">
        <v>53</v>
      </c>
      <c r="B57" s="15" t="inlineStr">
        <is>
          <t>38507</t>
        </is>
      </c>
      <c r="C57" s="12" t="inlineStr">
        <is>
          <t>Espacio Vista del Valle</t>
        </is>
      </c>
      <c r="D57" s="12" t="inlineStr">
        <is>
          <t>Yazmin Haydee Garcia Gonzalez</t>
        </is>
      </c>
      <c r="E57" s="11" t="n">
        <v>2</v>
      </c>
      <c r="F57" s="11" t="n">
        <v>9</v>
      </c>
      <c r="G57" s="13">
        <f>IFERROR(E57/(E57+F57),0)</f>
        <v/>
      </c>
      <c r="H57" s="14" t="inlineStr">
        <is>
          <t>Atención</t>
        </is>
      </c>
      <c r="I57" s="14" t="inlineStr">
        <is>
          <t>Priorizar hoy</t>
        </is>
      </c>
    </row>
    <row r="58" ht="21" customHeight="1">
      <c r="A58" s="7" t="n">
        <v>54</v>
      </c>
      <c r="B58" s="17" t="inlineStr">
        <is>
          <t>38363</t>
        </is>
      </c>
      <c r="C58" s="8" t="inlineStr">
        <is>
          <t>Galerias Atizapan</t>
        </is>
      </c>
      <c r="D58" s="8" t="inlineStr">
        <is>
          <t>Yazmin Haydee Garcia Gonzalez</t>
        </is>
      </c>
      <c r="E58" s="7" t="n">
        <v>2</v>
      </c>
      <c r="F58" s="7" t="n">
        <v>9</v>
      </c>
      <c r="G58" s="9">
        <f>IFERROR(E58/(E58+F58),0)</f>
        <v/>
      </c>
      <c r="H58" s="14" t="inlineStr">
        <is>
          <t>Atención</t>
        </is>
      </c>
      <c r="I58" s="14" t="inlineStr">
        <is>
          <t>Priorizar hoy</t>
        </is>
      </c>
    </row>
    <row r="59" ht="21" customHeight="1">
      <c r="A59" s="11" t="n">
        <v>55</v>
      </c>
      <c r="B59" s="15" t="inlineStr">
        <is>
          <t>38119</t>
        </is>
      </c>
      <c r="C59" s="12" t="inlineStr">
        <is>
          <t>Lomas Verdes</t>
        </is>
      </c>
      <c r="D59" s="12" t="inlineStr">
        <is>
          <t>Yazmin Haydee Garcia Gonzalez</t>
        </is>
      </c>
      <c r="E59" s="11" t="n">
        <v>2</v>
      </c>
      <c r="F59" s="11" t="n">
        <v>9</v>
      </c>
      <c r="G59" s="13">
        <f>IFERROR(E59/(E59+F59),0)</f>
        <v/>
      </c>
      <c r="H59" s="14" t="inlineStr">
        <is>
          <t>Atención</t>
        </is>
      </c>
      <c r="I59" s="14" t="inlineStr">
        <is>
          <t>Priorizar hoy</t>
        </is>
      </c>
    </row>
    <row r="60" ht="21" customHeight="1">
      <c r="A60" s="7" t="n">
        <v>56</v>
      </c>
      <c r="B60" s="17" t="inlineStr">
        <is>
          <t>38829</t>
        </is>
      </c>
      <c r="C60" s="8" t="inlineStr">
        <is>
          <t>Outlet Lerma</t>
        </is>
      </c>
      <c r="D60" s="8" t="inlineStr">
        <is>
          <t>Andrea Nava Guzman</t>
        </is>
      </c>
      <c r="E60" s="7" t="n">
        <v>2</v>
      </c>
      <c r="F60" s="7" t="n">
        <v>9</v>
      </c>
      <c r="G60" s="9">
        <f>IFERROR(E60/(E60+F60),0)</f>
        <v/>
      </c>
      <c r="H60" s="14" t="inlineStr">
        <is>
          <t>Atención</t>
        </is>
      </c>
      <c r="I60" s="14" t="inlineStr">
        <is>
          <t>Priorizar hoy</t>
        </is>
      </c>
    </row>
    <row r="61" ht="21" customHeight="1">
      <c r="A61" s="11" t="n">
        <v>57</v>
      </c>
      <c r="B61" s="15" t="inlineStr">
        <is>
          <t>38546</t>
        </is>
      </c>
      <c r="C61" s="12" t="inlineStr">
        <is>
          <t>Patio Claveria</t>
        </is>
      </c>
      <c r="D61" s="12" t="inlineStr">
        <is>
          <t>Vanessa Carreño Rios</t>
        </is>
      </c>
      <c r="E61" s="11" t="n">
        <v>2</v>
      </c>
      <c r="F61" s="11" t="n">
        <v>9</v>
      </c>
      <c r="G61" s="13">
        <f>IFERROR(E61/(E61+F61),0)</f>
        <v/>
      </c>
      <c r="H61" s="14" t="inlineStr">
        <is>
          <t>Atención</t>
        </is>
      </c>
      <c r="I61" s="14" t="inlineStr">
        <is>
          <t>Priorizar hoy</t>
        </is>
      </c>
    </row>
    <row r="62" ht="21" customHeight="1">
      <c r="A62" s="7" t="n">
        <v>58</v>
      </c>
      <c r="B62" s="17" t="inlineStr">
        <is>
          <t>38811</t>
        </is>
      </c>
      <c r="C62" s="8" t="inlineStr">
        <is>
          <t>Plaza Tepeyac</t>
        </is>
      </c>
      <c r="D62" s="8" t="inlineStr">
        <is>
          <t>Veronica Garcia Ortega</t>
        </is>
      </c>
      <c r="E62" s="7" t="n">
        <v>2</v>
      </c>
      <c r="F62" s="7" t="n">
        <v>9</v>
      </c>
      <c r="G62" s="9">
        <f>IFERROR(E62/(E62+F62),0)</f>
        <v/>
      </c>
      <c r="H62" s="14" t="inlineStr">
        <is>
          <t>Atención</t>
        </is>
      </c>
      <c r="I62" s="14" t="inlineStr">
        <is>
          <t>Priorizar hoy</t>
        </is>
      </c>
    </row>
    <row r="63" ht="21" customHeight="1">
      <c r="A63" s="11" t="n">
        <v>59</v>
      </c>
      <c r="B63" s="15" t="inlineStr">
        <is>
          <t>38460</t>
        </is>
      </c>
      <c r="C63" s="12" t="inlineStr">
        <is>
          <t>Santa Monica</t>
        </is>
      </c>
      <c r="D63" s="12" t="inlineStr">
        <is>
          <t>Nancy Carolina Rodriguez Medina</t>
        </is>
      </c>
      <c r="E63" s="11" t="n">
        <v>2</v>
      </c>
      <c r="F63" s="11" t="n">
        <v>9</v>
      </c>
      <c r="G63" s="13">
        <f>IFERROR(E63/(E63+F63),0)</f>
        <v/>
      </c>
      <c r="H63" s="14" t="inlineStr">
        <is>
          <t>Atención</t>
        </is>
      </c>
      <c r="I63" s="14" t="inlineStr">
        <is>
          <t>Priorizar hoy</t>
        </is>
      </c>
    </row>
    <row r="64" ht="21" customHeight="1">
      <c r="A64" s="7" t="n">
        <v>60</v>
      </c>
      <c r="B64" s="17" t="inlineStr">
        <is>
          <t>38992</t>
        </is>
      </c>
      <c r="C64" s="8" t="inlineStr">
        <is>
          <t>Tapo Puerta Oriente</t>
        </is>
      </c>
      <c r="D64" s="8" t="inlineStr">
        <is>
          <t>Veronica Garcia Ortega</t>
        </is>
      </c>
      <c r="E64" s="7" t="n">
        <v>2</v>
      </c>
      <c r="F64" s="7" t="n">
        <v>9</v>
      </c>
      <c r="G64" s="9">
        <f>IFERROR(E64/(E64+F64),0)</f>
        <v/>
      </c>
      <c r="H64" s="14" t="inlineStr">
        <is>
          <t>Atención</t>
        </is>
      </c>
      <c r="I64" s="14" t="inlineStr">
        <is>
          <t>Priorizar hoy</t>
        </is>
      </c>
    </row>
    <row r="65" ht="21" customHeight="1">
      <c r="A65" s="11" t="n">
        <v>61</v>
      </c>
      <c r="B65" s="15" t="inlineStr">
        <is>
          <t>43130</t>
        </is>
      </c>
      <c r="C65" s="12" t="inlineStr">
        <is>
          <t>Town Center Nicolás Romero</t>
        </is>
      </c>
      <c r="D65" s="12" t="inlineStr">
        <is>
          <t>Yazmin Haydee Garcia Gonzalez</t>
        </is>
      </c>
      <c r="E65" s="11" t="n">
        <v>2</v>
      </c>
      <c r="F65" s="11" t="n">
        <v>9</v>
      </c>
      <c r="G65" s="13">
        <f>IFERROR(E65/(E65+F65),0)</f>
        <v/>
      </c>
      <c r="H65" s="14" t="inlineStr">
        <is>
          <t>Atención</t>
        </is>
      </c>
      <c r="I65" s="14" t="inlineStr">
        <is>
          <t>Priorizar hoy</t>
        </is>
      </c>
    </row>
    <row r="66" ht="21" customHeight="1">
      <c r="A66" s="7" t="n">
        <v>62</v>
      </c>
      <c r="B66" s="17" t="inlineStr">
        <is>
          <t>38142</t>
        </is>
      </c>
      <c r="C66" s="8" t="inlineStr">
        <is>
          <t>Zona Esmeralda</t>
        </is>
      </c>
      <c r="D66" s="8" t="inlineStr">
        <is>
          <t>Yazmin Haydee Garcia Gonzalez</t>
        </is>
      </c>
      <c r="E66" s="7" t="n">
        <v>2</v>
      </c>
      <c r="F66" s="7" t="n">
        <v>9</v>
      </c>
      <c r="G66" s="9">
        <f>IFERROR(E66/(E66+F66),0)</f>
        <v/>
      </c>
      <c r="H66" s="14" t="inlineStr">
        <is>
          <t>Atención</t>
        </is>
      </c>
      <c r="I66" s="14" t="inlineStr">
        <is>
          <t>Priorizar hoy</t>
        </is>
      </c>
    </row>
    <row r="67" ht="21" customHeight="1">
      <c r="A67" s="11" t="n">
        <v>63</v>
      </c>
      <c r="B67" s="15" t="inlineStr">
        <is>
          <t>38929</t>
        </is>
      </c>
      <c r="C67" s="12" t="inlineStr">
        <is>
          <t>Aeropuerto Toluca AMB</t>
        </is>
      </c>
      <c r="D67" s="12" t="inlineStr">
        <is>
          <t>Jose De Jesus Magos Arzaluz</t>
        </is>
      </c>
      <c r="E67" s="11" t="n">
        <v>1</v>
      </c>
      <c r="F67" s="11" t="n">
        <v>10</v>
      </c>
      <c r="G67" s="13">
        <f>IFERROR(E67/(E67+F67),0)</f>
        <v/>
      </c>
      <c r="H67" s="14" t="inlineStr">
        <is>
          <t>Atención</t>
        </is>
      </c>
      <c r="I67" s="14" t="inlineStr">
        <is>
          <t>Priorizar hoy</t>
        </is>
      </c>
    </row>
    <row r="68" ht="21" customHeight="1">
      <c r="A68" s="7" t="n">
        <v>64</v>
      </c>
      <c r="B68" s="17" t="inlineStr">
        <is>
          <t>38103</t>
        </is>
      </c>
      <c r="C68" s="8" t="inlineStr">
        <is>
          <t>Aguilas</t>
        </is>
      </c>
      <c r="D68" s="8" t="inlineStr">
        <is>
          <t>Adriana Alejandra Tanus Buhler</t>
        </is>
      </c>
      <c r="E68" s="7" t="n">
        <v>1</v>
      </c>
      <c r="F68" s="7" t="n">
        <v>10</v>
      </c>
      <c r="G68" s="9">
        <f>IFERROR(E68/(E68+F68),0)</f>
        <v/>
      </c>
      <c r="H68" s="14" t="inlineStr">
        <is>
          <t>Atención</t>
        </is>
      </c>
      <c r="I68" s="14" t="inlineStr">
        <is>
          <t>Priorizar hoy</t>
        </is>
      </c>
    </row>
    <row r="69" ht="21" customHeight="1">
      <c r="A69" s="11" t="n">
        <v>65</v>
      </c>
      <c r="B69" s="15" t="inlineStr">
        <is>
          <t>38508</t>
        </is>
      </c>
      <c r="C69" s="12" t="inlineStr">
        <is>
          <t>Ampliacion Santa Fe</t>
        </is>
      </c>
      <c r="D69" s="12" t="inlineStr">
        <is>
          <t>Erika Julieta Contreras Aguilera</t>
        </is>
      </c>
      <c r="E69" s="11" t="n">
        <v>1</v>
      </c>
      <c r="F69" s="11" t="n">
        <v>10</v>
      </c>
      <c r="G69" s="13">
        <f>IFERROR(E69/(E69+F69),0)</f>
        <v/>
      </c>
      <c r="H69" s="14" t="inlineStr">
        <is>
          <t>Atención</t>
        </is>
      </c>
      <c r="I69" s="14" t="inlineStr">
        <is>
          <t>Priorizar hoy</t>
        </is>
      </c>
    </row>
    <row r="70" ht="21" customHeight="1">
      <c r="A70" s="7" t="n">
        <v>66</v>
      </c>
      <c r="B70" s="17" t="inlineStr">
        <is>
          <t>43162</t>
        </is>
      </c>
      <c r="C70" s="8" t="inlineStr">
        <is>
          <t>Apto Toluca SUE</t>
        </is>
      </c>
      <c r="D70" s="8" t="inlineStr">
        <is>
          <t>Jose De Jesus Magos Arzaluz</t>
        </is>
      </c>
      <c r="E70" s="7" t="n">
        <v>1</v>
      </c>
      <c r="F70" s="7" t="n">
        <v>10</v>
      </c>
      <c r="G70" s="9">
        <f>IFERROR(E70/(E70+F70),0)</f>
        <v/>
      </c>
      <c r="H70" s="14" t="inlineStr">
        <is>
          <t>Atención</t>
        </is>
      </c>
      <c r="I70" s="14" t="inlineStr">
        <is>
          <t>Priorizar hoy</t>
        </is>
      </c>
    </row>
    <row r="71" ht="21" customHeight="1">
      <c r="A71" s="11" t="n">
        <v>67</v>
      </c>
      <c r="B71" s="15" t="inlineStr">
        <is>
          <t>38746</t>
        </is>
      </c>
      <c r="C71" s="12" t="inlineStr">
        <is>
          <t>Arcos Bosques II</t>
        </is>
      </c>
      <c r="D71" s="12" t="inlineStr">
        <is>
          <t>Adriana Alejandra Tanus Buhler</t>
        </is>
      </c>
      <c r="E71" s="11" t="n">
        <v>1</v>
      </c>
      <c r="F71" s="11" t="n">
        <v>10</v>
      </c>
      <c r="G71" s="13">
        <f>IFERROR(E71/(E71+F71),0)</f>
        <v/>
      </c>
      <c r="H71" s="14" t="inlineStr">
        <is>
          <t>Atención</t>
        </is>
      </c>
      <c r="I71" s="14" t="inlineStr">
        <is>
          <t>Priorizar hoy</t>
        </is>
      </c>
    </row>
    <row r="72" ht="21" customHeight="1">
      <c r="A72" s="7" t="n">
        <v>68</v>
      </c>
      <c r="B72" s="17" t="inlineStr">
        <is>
          <t>43194</t>
        </is>
      </c>
      <c r="C72" s="8" t="inlineStr">
        <is>
          <t>Atana Lindavista</t>
        </is>
      </c>
      <c r="D72" s="8" t="inlineStr">
        <is>
          <t>Vanessa Carreño Rios</t>
        </is>
      </c>
      <c r="E72" s="7" t="n">
        <v>1</v>
      </c>
      <c r="F72" s="7" t="n">
        <v>10</v>
      </c>
      <c r="G72" s="9">
        <f>IFERROR(E72/(E72+F72),0)</f>
        <v/>
      </c>
      <c r="H72" s="14" t="inlineStr">
        <is>
          <t>Atención</t>
        </is>
      </c>
      <c r="I72" s="14" t="inlineStr">
        <is>
          <t>Priorizar hoy</t>
        </is>
      </c>
    </row>
    <row r="73" ht="21" customHeight="1">
      <c r="A73" s="11" t="n">
        <v>69</v>
      </c>
      <c r="B73" s="15" t="inlineStr">
        <is>
          <t>38717</t>
        </is>
      </c>
      <c r="C73" s="12" t="inlineStr">
        <is>
          <t>Av Revolucion</t>
        </is>
      </c>
      <c r="D73" s="12" t="inlineStr">
        <is>
          <t>Manuel Alejandro Avila Molina</t>
        </is>
      </c>
      <c r="E73" s="11" t="n">
        <v>1</v>
      </c>
      <c r="F73" s="11" t="n">
        <v>10</v>
      </c>
      <c r="G73" s="13">
        <f>IFERROR(E73/(E73+F73),0)</f>
        <v/>
      </c>
      <c r="H73" s="14" t="inlineStr">
        <is>
          <t>Atención</t>
        </is>
      </c>
      <c r="I73" s="14" t="inlineStr">
        <is>
          <t>Priorizar hoy</t>
        </is>
      </c>
    </row>
    <row r="74" ht="21" customHeight="1">
      <c r="A74" s="7" t="n">
        <v>70</v>
      </c>
      <c r="B74" s="17" t="inlineStr">
        <is>
          <t>38568</t>
        </is>
      </c>
      <c r="C74" s="8" t="inlineStr">
        <is>
          <t>Av Stim</t>
        </is>
      </c>
      <c r="D74" s="8" t="inlineStr">
        <is>
          <t>Areli Anahi Lazcano Lezama</t>
        </is>
      </c>
      <c r="E74" s="7" t="n">
        <v>1</v>
      </c>
      <c r="F74" s="7" t="n">
        <v>10</v>
      </c>
      <c r="G74" s="9">
        <f>IFERROR(E74/(E74+F74),0)</f>
        <v/>
      </c>
      <c r="H74" s="14" t="inlineStr">
        <is>
          <t>Atención</t>
        </is>
      </c>
      <c r="I74" s="14" t="inlineStr">
        <is>
          <t>Priorizar hoy</t>
        </is>
      </c>
    </row>
    <row r="75" ht="21" customHeight="1">
      <c r="A75" s="11" t="n">
        <v>71</v>
      </c>
      <c r="B75" s="15" t="inlineStr">
        <is>
          <t>38715</t>
        </is>
      </c>
      <c r="C75" s="12" t="inlineStr">
        <is>
          <t>Av. Coyoacan DT only</t>
        </is>
      </c>
      <c r="D75" s="12" t="inlineStr">
        <is>
          <t>Juan Jesus Zuñiga Flores</t>
        </is>
      </c>
      <c r="E75" s="11" t="n">
        <v>1</v>
      </c>
      <c r="F75" s="11" t="n">
        <v>10</v>
      </c>
      <c r="G75" s="13">
        <f>IFERROR(E75/(E75+F75),0)</f>
        <v/>
      </c>
      <c r="H75" s="14" t="inlineStr">
        <is>
          <t>Atención</t>
        </is>
      </c>
      <c r="I75" s="14" t="inlineStr">
        <is>
          <t>Priorizar hoy</t>
        </is>
      </c>
    </row>
    <row r="76" ht="21" customHeight="1">
      <c r="A76" s="7" t="n">
        <v>72</v>
      </c>
      <c r="B76" s="17" t="inlineStr">
        <is>
          <t>38957</t>
        </is>
      </c>
      <c r="C76" s="8" t="inlineStr">
        <is>
          <t>Avándaro</t>
        </is>
      </c>
      <c r="D76" s="8" t="inlineStr">
        <is>
          <t>Daniel Flores Maldonado</t>
        </is>
      </c>
      <c r="E76" s="7" t="n">
        <v>1</v>
      </c>
      <c r="F76" s="7" t="n">
        <v>10</v>
      </c>
      <c r="G76" s="9">
        <f>IFERROR(E76/(E76+F76),0)</f>
        <v/>
      </c>
      <c r="H76" s="14" t="inlineStr">
        <is>
          <t>Atención</t>
        </is>
      </c>
      <c r="I76" s="14" t="inlineStr">
        <is>
          <t>Priorizar hoy</t>
        </is>
      </c>
    </row>
    <row r="77" ht="21" customHeight="1">
      <c r="A77" s="11" t="n">
        <v>73</v>
      </c>
      <c r="B77" s="15" t="inlineStr">
        <is>
          <t>38617</t>
        </is>
      </c>
      <c r="C77" s="12" t="inlineStr">
        <is>
          <t>Axomiatla</t>
        </is>
      </c>
      <c r="D77" s="12" t="inlineStr">
        <is>
          <t>Adriana Alejandra Tanus Buhler</t>
        </is>
      </c>
      <c r="E77" s="11" t="n">
        <v>1</v>
      </c>
      <c r="F77" s="11" t="n">
        <v>10</v>
      </c>
      <c r="G77" s="13">
        <f>IFERROR(E77/(E77+F77),0)</f>
        <v/>
      </c>
      <c r="H77" s="14" t="inlineStr">
        <is>
          <t>Atención</t>
        </is>
      </c>
      <c r="I77" s="14" t="inlineStr">
        <is>
          <t>Priorizar hoy</t>
        </is>
      </c>
    </row>
    <row r="78" ht="21" customHeight="1">
      <c r="A78" s="7" t="n">
        <v>74</v>
      </c>
      <c r="B78" s="17" t="inlineStr">
        <is>
          <t>43164</t>
        </is>
      </c>
      <c r="C78" s="8" t="inlineStr">
        <is>
          <t>Blvd Ojo de Agua DT</t>
        </is>
      </c>
      <c r="D78" s="8" t="inlineStr">
        <is>
          <t>Monica Selene Morales Ibarra</t>
        </is>
      </c>
      <c r="E78" s="7" t="n">
        <v>1</v>
      </c>
      <c r="F78" s="7" t="n">
        <v>10</v>
      </c>
      <c r="G78" s="9">
        <f>IFERROR(E78/(E78+F78),0)</f>
        <v/>
      </c>
      <c r="H78" s="14" t="inlineStr">
        <is>
          <t>Atención</t>
        </is>
      </c>
      <c r="I78" s="14" t="inlineStr">
        <is>
          <t>Priorizar hoy</t>
        </is>
      </c>
    </row>
    <row r="79" ht="21" customHeight="1">
      <c r="A79" s="11" t="n">
        <v>75</v>
      </c>
      <c r="B79" s="15" t="inlineStr">
        <is>
          <t>38918</t>
        </is>
      </c>
      <c r="C79" s="12" t="inlineStr">
        <is>
          <t>Bosque Real</t>
        </is>
      </c>
      <c r="D79" s="12" t="inlineStr">
        <is>
          <t>Areli Anahi Lazcano Lezama</t>
        </is>
      </c>
      <c r="E79" s="11" t="n">
        <v>1</v>
      </c>
      <c r="F79" s="11" t="n">
        <v>10</v>
      </c>
      <c r="G79" s="13">
        <f>IFERROR(E79/(E79+F79),0)</f>
        <v/>
      </c>
      <c r="H79" s="14" t="inlineStr">
        <is>
          <t>Atención</t>
        </is>
      </c>
      <c r="I79" s="14" t="inlineStr">
        <is>
          <t>Priorizar hoy</t>
        </is>
      </c>
    </row>
    <row r="80" ht="21" customHeight="1">
      <c r="A80" s="7" t="n">
        <v>76</v>
      </c>
      <c r="B80" s="17" t="inlineStr">
        <is>
          <t>38527</t>
        </is>
      </c>
      <c r="C80" s="8" t="inlineStr">
        <is>
          <t>Camarones</t>
        </is>
      </c>
      <c r="D80" s="8" t="inlineStr">
        <is>
          <t>Vanessa Carreño Rios</t>
        </is>
      </c>
      <c r="E80" s="7" t="n">
        <v>1</v>
      </c>
      <c r="F80" s="7" t="n">
        <v>10</v>
      </c>
      <c r="G80" s="9">
        <f>IFERROR(E80/(E80+F80),0)</f>
        <v/>
      </c>
      <c r="H80" s="14" t="inlineStr">
        <is>
          <t>Atención</t>
        </is>
      </c>
      <c r="I80" s="14" t="inlineStr">
        <is>
          <t>Priorizar hoy</t>
        </is>
      </c>
    </row>
    <row r="81" ht="21" customHeight="1">
      <c r="A81" s="11" t="n">
        <v>77</v>
      </c>
      <c r="B81" s="15" t="inlineStr">
        <is>
          <t>38547</t>
        </is>
      </c>
      <c r="C81" s="12" t="inlineStr">
        <is>
          <t>Carr Toluca Mexico KM48</t>
        </is>
      </c>
      <c r="D81" s="12" t="inlineStr">
        <is>
          <t>Daniel Flores Maldonado</t>
        </is>
      </c>
      <c r="E81" s="11" t="n">
        <v>1</v>
      </c>
      <c r="F81" s="11" t="n">
        <v>10</v>
      </c>
      <c r="G81" s="13">
        <f>IFERROR(E81/(E81+F81),0)</f>
        <v/>
      </c>
      <c r="H81" s="14" t="inlineStr">
        <is>
          <t>Atención</t>
        </is>
      </c>
      <c r="I81" s="14" t="inlineStr">
        <is>
          <t>Priorizar hoy</t>
        </is>
      </c>
    </row>
    <row r="82" ht="21" customHeight="1">
      <c r="A82" s="7" t="n">
        <v>78</v>
      </c>
      <c r="B82" s="17" t="inlineStr">
        <is>
          <t>43011</t>
        </is>
      </c>
      <c r="C82" s="8" t="inlineStr">
        <is>
          <t>Carr Toluca-Atlacomulco DT</t>
        </is>
      </c>
      <c r="D82" s="8" t="inlineStr">
        <is>
          <t>Andrea Nava Guzman</t>
        </is>
      </c>
      <c r="E82" s="7" t="n">
        <v>1</v>
      </c>
      <c r="F82" s="7" t="n">
        <v>10</v>
      </c>
      <c r="G82" s="9">
        <f>IFERROR(E82/(E82+F82),0)</f>
        <v/>
      </c>
      <c r="H82" s="14" t="inlineStr">
        <is>
          <t>Atención</t>
        </is>
      </c>
      <c r="I82" s="14" t="inlineStr">
        <is>
          <t>Priorizar hoy</t>
        </is>
      </c>
    </row>
    <row r="83" ht="21" customHeight="1">
      <c r="A83" s="11" t="n">
        <v>79</v>
      </c>
      <c r="B83" s="15" t="inlineStr">
        <is>
          <t>38646</t>
        </is>
      </c>
      <c r="C83" s="12" t="inlineStr">
        <is>
          <t>Carracci</t>
        </is>
      </c>
      <c r="D83" s="12" t="inlineStr">
        <is>
          <t>Adriana Alejandra Tanus Buhler</t>
        </is>
      </c>
      <c r="E83" s="11" t="n">
        <v>1</v>
      </c>
      <c r="F83" s="11" t="n">
        <v>10</v>
      </c>
      <c r="G83" s="13">
        <f>IFERROR(E83/(E83+F83),0)</f>
        <v/>
      </c>
      <c r="H83" s="14" t="inlineStr">
        <is>
          <t>Atención</t>
        </is>
      </c>
      <c r="I83" s="14" t="inlineStr">
        <is>
          <t>Priorizar hoy</t>
        </is>
      </c>
    </row>
    <row r="84" ht="21" customHeight="1">
      <c r="A84" s="7" t="n">
        <v>80</v>
      </c>
      <c r="B84" s="17" t="inlineStr">
        <is>
          <t>38607</t>
        </is>
      </c>
      <c r="C84" s="8" t="inlineStr">
        <is>
          <t>Carretera Mexico Toluca KM42</t>
        </is>
      </c>
      <c r="D84" s="8" t="inlineStr">
        <is>
          <t>Erika Julieta Contreras Aguilera</t>
        </is>
      </c>
      <c r="E84" s="7" t="n">
        <v>1</v>
      </c>
      <c r="F84" s="7" t="n">
        <v>10</v>
      </c>
      <c r="G84" s="9">
        <f>IFERROR(E84/(E84+F84),0)</f>
        <v/>
      </c>
      <c r="H84" s="14" t="inlineStr">
        <is>
          <t>Atención</t>
        </is>
      </c>
      <c r="I84" s="14" t="inlineStr">
        <is>
          <t>Priorizar hoy</t>
        </is>
      </c>
    </row>
    <row r="85" ht="21" customHeight="1">
      <c r="A85" s="11" t="n">
        <v>81</v>
      </c>
      <c r="B85" s="15" t="inlineStr">
        <is>
          <t>38633</t>
        </is>
      </c>
      <c r="C85" s="12" t="inlineStr">
        <is>
          <t>Carretera Toluca Mexico (plaza cedros DT)</t>
        </is>
      </c>
      <c r="D85" s="12" t="inlineStr">
        <is>
          <t>Erika Julieta Contreras Aguilera</t>
        </is>
      </c>
      <c r="E85" s="11" t="n">
        <v>1</v>
      </c>
      <c r="F85" s="11" t="n">
        <v>10</v>
      </c>
      <c r="G85" s="13">
        <f>IFERROR(E85/(E85+F85),0)</f>
        <v/>
      </c>
      <c r="H85" s="14" t="inlineStr">
        <is>
          <t>Atención</t>
        </is>
      </c>
      <c r="I85" s="14" t="inlineStr">
        <is>
          <t>Priorizar hoy</t>
        </is>
      </c>
    </row>
    <row r="86" ht="21" customHeight="1">
      <c r="A86" s="7" t="n">
        <v>82</v>
      </c>
      <c r="B86" s="17" t="inlineStr">
        <is>
          <t>43058</t>
        </is>
      </c>
      <c r="C86" s="8" t="inlineStr">
        <is>
          <t>Casa de Gobierno DT</t>
        </is>
      </c>
      <c r="D86" s="8" t="inlineStr">
        <is>
          <t>Andrea Nava Guzman</t>
        </is>
      </c>
      <c r="E86" s="7" t="n">
        <v>1</v>
      </c>
      <c r="F86" s="7" t="n">
        <v>10</v>
      </c>
      <c r="G86" s="9">
        <f>IFERROR(E86/(E86+F86),0)</f>
        <v/>
      </c>
      <c r="H86" s="14" t="inlineStr">
        <is>
          <t>Atención</t>
        </is>
      </c>
      <c r="I86" s="14" t="inlineStr">
        <is>
          <t>Priorizar hoy</t>
        </is>
      </c>
    </row>
    <row r="87" ht="21" customHeight="1">
      <c r="A87" s="11" t="n">
        <v>83</v>
      </c>
      <c r="B87" s="15" t="inlineStr">
        <is>
          <t>38361</t>
        </is>
      </c>
      <c r="C87" s="12" t="inlineStr">
        <is>
          <t>Castorena</t>
        </is>
      </c>
      <c r="D87" s="12" t="inlineStr">
        <is>
          <t>Erika Julieta Contreras Aguilera</t>
        </is>
      </c>
      <c r="E87" s="11" t="n">
        <v>1</v>
      </c>
      <c r="F87" s="11" t="n">
        <v>10</v>
      </c>
      <c r="G87" s="13">
        <f>IFERROR(E87/(E87+F87),0)</f>
        <v/>
      </c>
      <c r="H87" s="14" t="inlineStr">
        <is>
          <t>Atención</t>
        </is>
      </c>
      <c r="I87" s="14" t="inlineStr">
        <is>
          <t>Priorizar hoy</t>
        </is>
      </c>
    </row>
    <row r="88" ht="21" customHeight="1">
      <c r="A88" s="7" t="n">
        <v>84</v>
      </c>
      <c r="B88" s="17" t="inlineStr">
        <is>
          <t>38837</t>
        </is>
      </c>
      <c r="C88" s="8" t="inlineStr">
        <is>
          <t>Centenario Azcapotzalco</t>
        </is>
      </c>
      <c r="D88" s="8" t="inlineStr">
        <is>
          <t>Vanessa Carreño Rios</t>
        </is>
      </c>
      <c r="E88" s="7" t="n">
        <v>1</v>
      </c>
      <c r="F88" s="7" t="n">
        <v>10</v>
      </c>
      <c r="G88" s="9">
        <f>IFERROR(E88/(E88+F88),0)</f>
        <v/>
      </c>
      <c r="H88" s="14" t="inlineStr">
        <is>
          <t>Atención</t>
        </is>
      </c>
      <c r="I88" s="14" t="inlineStr">
        <is>
          <t>Priorizar hoy</t>
        </is>
      </c>
    </row>
    <row r="89" ht="21" customHeight="1">
      <c r="A89" s="11" t="n">
        <v>85</v>
      </c>
      <c r="B89" s="15" t="inlineStr">
        <is>
          <t>38815</t>
        </is>
      </c>
      <c r="C89" s="12" t="inlineStr">
        <is>
          <t>Central Interlomas</t>
        </is>
      </c>
      <c r="D89" s="12" t="inlineStr">
        <is>
          <t>Areli Anahi Lazcano Lezama</t>
        </is>
      </c>
      <c r="E89" s="11" t="n">
        <v>1</v>
      </c>
      <c r="F89" s="11" t="n">
        <v>10</v>
      </c>
      <c r="G89" s="13">
        <f>IFERROR(E89/(E89+F89),0)</f>
        <v/>
      </c>
      <c r="H89" s="14" t="inlineStr">
        <is>
          <t>Atención</t>
        </is>
      </c>
      <c r="I89" s="14" t="inlineStr">
        <is>
          <t>Priorizar hoy</t>
        </is>
      </c>
    </row>
    <row r="90" ht="21" customHeight="1">
      <c r="A90" s="7" t="n">
        <v>86</v>
      </c>
      <c r="B90" s="17" t="inlineStr">
        <is>
          <t>38148</t>
        </is>
      </c>
      <c r="C90" s="8" t="inlineStr">
        <is>
          <t>Centro Comercial Santa Fe 1</t>
        </is>
      </c>
      <c r="D90" s="8" t="inlineStr">
        <is>
          <t>Erika Julieta Contreras Aguilera</t>
        </is>
      </c>
      <c r="E90" s="7" t="n">
        <v>1</v>
      </c>
      <c r="F90" s="7" t="n">
        <v>10</v>
      </c>
      <c r="G90" s="9">
        <f>IFERROR(E90/(E90+F90),0)</f>
        <v/>
      </c>
      <c r="H90" s="14" t="inlineStr">
        <is>
          <t>Atención</t>
        </is>
      </c>
      <c r="I90" s="14" t="inlineStr">
        <is>
          <t>Priorizar hoy</t>
        </is>
      </c>
    </row>
    <row r="91" ht="21" customHeight="1">
      <c r="A91" s="11" t="n">
        <v>87</v>
      </c>
      <c r="B91" s="15" t="inlineStr">
        <is>
          <t>38225</t>
        </is>
      </c>
      <c r="C91" s="12" t="inlineStr">
        <is>
          <t>Centro Comercial Santa Fe 2</t>
        </is>
      </c>
      <c r="D91" s="12" t="inlineStr">
        <is>
          <t>Erika Julieta Contreras Aguilera</t>
        </is>
      </c>
      <c r="E91" s="11" t="n">
        <v>1</v>
      </c>
      <c r="F91" s="11" t="n">
        <v>10</v>
      </c>
      <c r="G91" s="13">
        <f>IFERROR(E91/(E91+F91),0)</f>
        <v/>
      </c>
      <c r="H91" s="14" t="inlineStr">
        <is>
          <t>Atención</t>
        </is>
      </c>
      <c r="I91" s="14" t="inlineStr">
        <is>
          <t>Priorizar hoy</t>
        </is>
      </c>
    </row>
    <row r="92" ht="21" customHeight="1">
      <c r="A92" s="7" t="n">
        <v>88</v>
      </c>
      <c r="B92" s="17" t="inlineStr">
        <is>
          <t>38747</t>
        </is>
      </c>
      <c r="C92" s="8" t="inlineStr">
        <is>
          <t>Centro Comercial Santa Fe 3</t>
        </is>
      </c>
      <c r="D92" s="8" t="inlineStr">
        <is>
          <t>Erika Julieta Contreras Aguilera</t>
        </is>
      </c>
      <c r="E92" s="7" t="n">
        <v>1</v>
      </c>
      <c r="F92" s="7" t="n">
        <v>10</v>
      </c>
      <c r="G92" s="9">
        <f>IFERROR(E92/(E92+F92),0)</f>
        <v/>
      </c>
      <c r="H92" s="14" t="inlineStr">
        <is>
          <t>Atención</t>
        </is>
      </c>
      <c r="I92" s="14" t="inlineStr">
        <is>
          <t>Priorizar hoy</t>
        </is>
      </c>
    </row>
    <row r="93" ht="21" customHeight="1">
      <c r="A93" s="11" t="n">
        <v>89</v>
      </c>
      <c r="B93" s="15" t="inlineStr">
        <is>
          <t>38400</t>
        </is>
      </c>
      <c r="C93" s="12" t="inlineStr">
        <is>
          <t>Centro Medico ABC Santa Fe</t>
        </is>
      </c>
      <c r="D93" s="12" t="inlineStr">
        <is>
          <t>Jose De Jesus Magos Arzaluz</t>
        </is>
      </c>
      <c r="E93" s="11" t="n">
        <v>1</v>
      </c>
      <c r="F93" s="11" t="n">
        <v>10</v>
      </c>
      <c r="G93" s="13">
        <f>IFERROR(E93/(E93+F93),0)</f>
        <v/>
      </c>
      <c r="H93" s="14" t="inlineStr">
        <is>
          <t>Atención</t>
        </is>
      </c>
      <c r="I93" s="14" t="inlineStr">
        <is>
          <t>Priorizar hoy</t>
        </is>
      </c>
    </row>
    <row r="94" ht="21" customHeight="1">
      <c r="A94" s="7" t="n">
        <v>90</v>
      </c>
      <c r="B94" s="17" t="inlineStr">
        <is>
          <t>38438</t>
        </is>
      </c>
      <c r="C94" s="8" t="inlineStr">
        <is>
          <t>City Walk</t>
        </is>
      </c>
      <c r="D94" s="8" t="inlineStr">
        <is>
          <t>Erika Julieta Contreras Aguilera</t>
        </is>
      </c>
      <c r="E94" s="7" t="n">
        <v>1</v>
      </c>
      <c r="F94" s="7" t="n">
        <v>10</v>
      </c>
      <c r="G94" s="9">
        <f>IFERROR(E94/(E94+F94),0)</f>
        <v/>
      </c>
      <c r="H94" s="14" t="inlineStr">
        <is>
          <t>Atención</t>
        </is>
      </c>
      <c r="I94" s="14" t="inlineStr">
        <is>
          <t>Priorizar hoy</t>
        </is>
      </c>
    </row>
    <row r="95" ht="21" customHeight="1">
      <c r="A95" s="11" t="n">
        <v>91</v>
      </c>
      <c r="B95" s="15" t="inlineStr">
        <is>
          <t>38773</t>
        </is>
      </c>
      <c r="C95" s="12" t="inlineStr">
        <is>
          <t>Colegio Americano</t>
        </is>
      </c>
      <c r="D95" s="12" t="inlineStr">
        <is>
          <t>Manuel Alejandro Avila Molina</t>
        </is>
      </c>
      <c r="E95" s="11" t="n">
        <v>1</v>
      </c>
      <c r="F95" s="11" t="n">
        <v>10</v>
      </c>
      <c r="G95" s="13">
        <f>IFERROR(E95/(E95+F95),0)</f>
        <v/>
      </c>
      <c r="H95" s="14" t="inlineStr">
        <is>
          <t>Atención</t>
        </is>
      </c>
      <c r="I95" s="14" t="inlineStr">
        <is>
          <t>Priorizar hoy</t>
        </is>
      </c>
    </row>
    <row r="96" ht="21" customHeight="1">
      <c r="A96" s="7" t="n">
        <v>92</v>
      </c>
      <c r="B96" s="17" t="inlineStr">
        <is>
          <t>38798</t>
        </is>
      </c>
      <c r="C96" s="8" t="inlineStr">
        <is>
          <t>Corp. Televisa Sta Fe</t>
        </is>
      </c>
      <c r="D96" s="8" t="inlineStr">
        <is>
          <t>Jose De Jesus Magos Arzaluz</t>
        </is>
      </c>
      <c r="E96" s="7" t="n">
        <v>1</v>
      </c>
      <c r="F96" s="7" t="n">
        <v>10</v>
      </c>
      <c r="G96" s="9">
        <f>IFERROR(E96/(E96+F96),0)</f>
        <v/>
      </c>
      <c r="H96" s="14" t="inlineStr">
        <is>
          <t>Atención</t>
        </is>
      </c>
      <c r="I96" s="14" t="inlineStr">
        <is>
          <t>Priorizar hoy</t>
        </is>
      </c>
    </row>
    <row r="97" ht="21" customHeight="1">
      <c r="A97" s="11" t="n">
        <v>93</v>
      </c>
      <c r="B97" s="15" t="inlineStr">
        <is>
          <t>38709</t>
        </is>
      </c>
      <c r="C97" s="12" t="inlineStr">
        <is>
          <t>Corporativo Barranca</t>
        </is>
      </c>
      <c r="D97" s="12" t="inlineStr">
        <is>
          <t>Manuel Alejandro Avila Molina</t>
        </is>
      </c>
      <c r="E97" s="11" t="n">
        <v>1</v>
      </c>
      <c r="F97" s="11" t="n">
        <v>10</v>
      </c>
      <c r="G97" s="13">
        <f>IFERROR(E97/(E97+F97),0)</f>
        <v/>
      </c>
      <c r="H97" s="14" t="inlineStr">
        <is>
          <t>Atención</t>
        </is>
      </c>
      <c r="I97" s="14" t="inlineStr">
        <is>
          <t>Priorizar hoy</t>
        </is>
      </c>
    </row>
    <row r="98" ht="21" customHeight="1">
      <c r="A98" s="7" t="n">
        <v>94</v>
      </c>
      <c r="B98" s="17" t="inlineStr">
        <is>
          <t>38755</t>
        </is>
      </c>
      <c r="C98" s="8" t="inlineStr">
        <is>
          <t>Corporativo Santander</t>
        </is>
      </c>
      <c r="D98" s="8" t="inlineStr">
        <is>
          <t>Jose De Jesus Magos Arzaluz</t>
        </is>
      </c>
      <c r="E98" s="7" t="n">
        <v>1</v>
      </c>
      <c r="F98" s="7" t="n">
        <v>10</v>
      </c>
      <c r="G98" s="9">
        <f>IFERROR(E98/(E98+F98),0)</f>
        <v/>
      </c>
      <c r="H98" s="14" t="inlineStr">
        <is>
          <t>Atención</t>
        </is>
      </c>
      <c r="I98" s="14" t="inlineStr">
        <is>
          <t>Priorizar hoy</t>
        </is>
      </c>
    </row>
    <row r="99" ht="21" customHeight="1">
      <c r="A99" s="11" t="n">
        <v>95</v>
      </c>
      <c r="B99" s="15" t="inlineStr">
        <is>
          <t>38704</t>
        </is>
      </c>
      <c r="C99" s="12" t="inlineStr">
        <is>
          <t>Corportivo Banamex</t>
        </is>
      </c>
      <c r="D99" s="12" t="inlineStr">
        <is>
          <t>Erika Julieta Contreras Aguilera</t>
        </is>
      </c>
      <c r="E99" s="11" t="n">
        <v>1</v>
      </c>
      <c r="F99" s="11" t="n">
        <v>10</v>
      </c>
      <c r="G99" s="13">
        <f>IFERROR(E99/(E99+F99),0)</f>
        <v/>
      </c>
      <c r="H99" s="14" t="inlineStr">
        <is>
          <t>Atención</t>
        </is>
      </c>
      <c r="I99" s="14" t="inlineStr">
        <is>
          <t>Priorizar hoy</t>
        </is>
      </c>
    </row>
    <row r="100" ht="21" customHeight="1">
      <c r="A100" s="7" t="n">
        <v>96</v>
      </c>
      <c r="B100" s="17" t="inlineStr">
        <is>
          <t>38386</t>
        </is>
      </c>
      <c r="C100" s="8" t="inlineStr">
        <is>
          <t>Duraznos</t>
        </is>
      </c>
      <c r="D100" s="8" t="inlineStr">
        <is>
          <t>Manuel Alejandro Avila Molina</t>
        </is>
      </c>
      <c r="E100" s="7" t="n">
        <v>1</v>
      </c>
      <c r="F100" s="7" t="n">
        <v>10</v>
      </c>
      <c r="G100" s="9">
        <f>IFERROR(E100/(E100+F100),0)</f>
        <v/>
      </c>
      <c r="H100" s="14" t="inlineStr">
        <is>
          <t>Atención</t>
        </is>
      </c>
      <c r="I100" s="14" t="inlineStr">
        <is>
          <t>Priorizar hoy</t>
        </is>
      </c>
    </row>
    <row r="101" ht="21" customHeight="1">
      <c r="A101" s="11" t="n">
        <v>97</v>
      </c>
      <c r="B101" s="15" t="inlineStr">
        <is>
          <t>38847</t>
        </is>
      </c>
      <c r="C101" s="12" t="inlineStr">
        <is>
          <t>El Molino</t>
        </is>
      </c>
      <c r="D101" s="12" t="inlineStr">
        <is>
          <t>Andrea Nava Guzman</t>
        </is>
      </c>
      <c r="E101" s="11" t="n">
        <v>1</v>
      </c>
      <c r="F101" s="11" t="n">
        <v>10</v>
      </c>
      <c r="G101" s="13">
        <f>IFERROR(E101/(E101+F101),0)</f>
        <v/>
      </c>
      <c r="H101" s="14" t="inlineStr">
        <is>
          <t>Atención</t>
        </is>
      </c>
      <c r="I101" s="14" t="inlineStr">
        <is>
          <t>Priorizar hoy</t>
        </is>
      </c>
    </row>
    <row r="102" ht="21" customHeight="1">
      <c r="A102" s="7" t="n">
        <v>98</v>
      </c>
      <c r="B102" s="17" t="inlineStr">
        <is>
          <t>38372</t>
        </is>
      </c>
      <c r="C102" s="8" t="inlineStr">
        <is>
          <t>Felix Cuevas</t>
        </is>
      </c>
      <c r="D102" s="8" t="inlineStr">
        <is>
          <t>Juan Jesus Zuñiga Flores</t>
        </is>
      </c>
      <c r="E102" s="7" t="n">
        <v>1</v>
      </c>
      <c r="F102" s="7" t="n">
        <v>10</v>
      </c>
      <c r="G102" s="9">
        <f>IFERROR(E102/(E102+F102),0)</f>
        <v/>
      </c>
      <c r="H102" s="14" t="inlineStr">
        <is>
          <t>Atención</t>
        </is>
      </c>
      <c r="I102" s="14" t="inlineStr">
        <is>
          <t>Priorizar hoy</t>
        </is>
      </c>
    </row>
    <row r="103" ht="21" customHeight="1">
      <c r="A103" s="11" t="n">
        <v>99</v>
      </c>
      <c r="B103" s="15" t="inlineStr">
        <is>
          <t>38461</t>
        </is>
      </c>
      <c r="C103" s="12" t="inlineStr">
        <is>
          <t>Fuente de Tritones</t>
        </is>
      </c>
      <c r="D103" s="12" t="inlineStr">
        <is>
          <t>Manuel Alejandro Avila Molina</t>
        </is>
      </c>
      <c r="E103" s="11" t="n">
        <v>1</v>
      </c>
      <c r="F103" s="11" t="n">
        <v>10</v>
      </c>
      <c r="G103" s="13">
        <f>IFERROR(E103/(E103+F103),0)</f>
        <v/>
      </c>
      <c r="H103" s="14" t="inlineStr">
        <is>
          <t>Atención</t>
        </is>
      </c>
      <c r="I103" s="14" t="inlineStr">
        <is>
          <t>Priorizar hoy</t>
        </is>
      </c>
    </row>
    <row r="104" ht="21" customHeight="1">
      <c r="A104" s="7" t="n">
        <v>100</v>
      </c>
      <c r="B104" s="17" t="inlineStr">
        <is>
          <t>38549</t>
        </is>
      </c>
      <c r="C104" s="8" t="inlineStr">
        <is>
          <t>Galerias Insurgentes</t>
        </is>
      </c>
      <c r="D104" s="8" t="inlineStr">
        <is>
          <t>Juan Jesus Zuñiga Flores</t>
        </is>
      </c>
      <c r="E104" s="7" t="n">
        <v>1</v>
      </c>
      <c r="F104" s="7" t="n">
        <v>10</v>
      </c>
      <c r="G104" s="9">
        <f>IFERROR(E104/(E104+F104),0)</f>
        <v/>
      </c>
      <c r="H104" s="14" t="inlineStr">
        <is>
          <t>Atención</t>
        </is>
      </c>
      <c r="I104" s="14" t="inlineStr">
        <is>
          <t>Priorizar hoy</t>
        </is>
      </c>
    </row>
    <row r="105" ht="21" customHeight="1">
      <c r="A105" s="11" t="n">
        <v>101</v>
      </c>
      <c r="B105" s="15" t="inlineStr">
        <is>
          <t>43068</t>
        </is>
      </c>
      <c r="C105" s="12" t="inlineStr">
        <is>
          <t>Galerias Metepec II</t>
        </is>
      </c>
      <c r="D105" s="12" t="inlineStr">
        <is>
          <t>Daniel Flores Maldonado</t>
        </is>
      </c>
      <c r="E105" s="11" t="n">
        <v>1</v>
      </c>
      <c r="F105" s="11" t="n">
        <v>10</v>
      </c>
      <c r="G105" s="13">
        <f>IFERROR(E105/(E105+F105),0)</f>
        <v/>
      </c>
      <c r="H105" s="14" t="inlineStr">
        <is>
          <t>Atención</t>
        </is>
      </c>
      <c r="I105" s="14" t="inlineStr">
        <is>
          <t>Priorizar hoy</t>
        </is>
      </c>
    </row>
    <row r="106" ht="21" customHeight="1">
      <c r="A106" s="7" t="n">
        <v>102</v>
      </c>
      <c r="B106" s="17" t="inlineStr">
        <is>
          <t>38578</t>
        </is>
      </c>
      <c r="C106" s="8" t="inlineStr">
        <is>
          <t>Galerias Toluca</t>
        </is>
      </c>
      <c r="D106" s="8" t="inlineStr">
        <is>
          <t>Andrea Nava Guzman</t>
        </is>
      </c>
      <c r="E106" s="7" t="n">
        <v>1</v>
      </c>
      <c r="F106" s="7" t="n">
        <v>10</v>
      </c>
      <c r="G106" s="9">
        <f>IFERROR(E106/(E106+F106),0)</f>
        <v/>
      </c>
      <c r="H106" s="14" t="inlineStr">
        <is>
          <t>Atención</t>
        </is>
      </c>
      <c r="I106" s="14" t="inlineStr">
        <is>
          <t>Priorizar hoy</t>
        </is>
      </c>
    </row>
    <row r="107" ht="21" customHeight="1">
      <c r="A107" s="11" t="n">
        <v>103</v>
      </c>
      <c r="B107" s="15" t="inlineStr">
        <is>
          <t>38512</t>
        </is>
      </c>
      <c r="C107" s="12" t="inlineStr">
        <is>
          <t>Garden Santa Fe</t>
        </is>
      </c>
      <c r="D107" s="12" t="inlineStr">
        <is>
          <t>Jose De Jesus Magos Arzaluz</t>
        </is>
      </c>
      <c r="E107" s="11" t="n">
        <v>1</v>
      </c>
      <c r="F107" s="11" t="n">
        <v>10</v>
      </c>
      <c r="G107" s="13">
        <f>IFERROR(E107/(E107+F107),0)</f>
        <v/>
      </c>
      <c r="H107" s="14" t="inlineStr">
        <is>
          <t>Atención</t>
        </is>
      </c>
      <c r="I107" s="14" t="inlineStr">
        <is>
          <t>Priorizar hoy</t>
        </is>
      </c>
    </row>
    <row r="108" ht="21" customHeight="1">
      <c r="A108" s="7" t="n">
        <v>104</v>
      </c>
      <c r="B108" s="17" t="inlineStr">
        <is>
          <t>38121</t>
        </is>
      </c>
      <c r="C108" s="8" t="inlineStr">
        <is>
          <t>Herradura</t>
        </is>
      </c>
      <c r="D108" s="8" t="inlineStr">
        <is>
          <t>Manuel Alejandro Avila Molina</t>
        </is>
      </c>
      <c r="E108" s="7" t="n">
        <v>1</v>
      </c>
      <c r="F108" s="7" t="n">
        <v>10</v>
      </c>
      <c r="G108" s="9">
        <f>IFERROR(E108/(E108+F108),0)</f>
        <v/>
      </c>
      <c r="H108" s="14" t="inlineStr">
        <is>
          <t>Atención</t>
        </is>
      </c>
      <c r="I108" s="14" t="inlineStr">
        <is>
          <t>Priorizar hoy</t>
        </is>
      </c>
    </row>
    <row r="109" ht="21" customHeight="1">
      <c r="A109" s="11" t="n">
        <v>105</v>
      </c>
      <c r="B109" s="15" t="inlineStr">
        <is>
          <t>38366</t>
        </is>
      </c>
      <c r="C109" s="12" t="inlineStr">
        <is>
          <t>Hospital ABC</t>
        </is>
      </c>
      <c r="D109" s="12" t="inlineStr">
        <is>
          <t>Manuel Alejandro Avila Molina</t>
        </is>
      </c>
      <c r="E109" s="11" t="n">
        <v>1</v>
      </c>
      <c r="F109" s="11" t="n">
        <v>10</v>
      </c>
      <c r="G109" s="13">
        <f>IFERROR(E109/(E109+F109),0)</f>
        <v/>
      </c>
      <c r="H109" s="14" t="inlineStr">
        <is>
          <t>Atención</t>
        </is>
      </c>
      <c r="I109" s="14" t="inlineStr">
        <is>
          <t>Priorizar hoy</t>
        </is>
      </c>
    </row>
    <row r="110" ht="21" customHeight="1">
      <c r="A110" s="7" t="n">
        <v>106</v>
      </c>
      <c r="B110" s="17" t="inlineStr">
        <is>
          <t>43105</t>
        </is>
      </c>
      <c r="C110" s="8" t="inlineStr">
        <is>
          <t>Insurgentes Capital</t>
        </is>
      </c>
      <c r="D110" s="8" t="inlineStr">
        <is>
          <t>Juan Jesus Zuñiga Flores</t>
        </is>
      </c>
      <c r="E110" s="7" t="n">
        <v>1</v>
      </c>
      <c r="F110" s="7" t="n">
        <v>10</v>
      </c>
      <c r="G110" s="9">
        <f>IFERROR(E110/(E110+F110),0)</f>
        <v/>
      </c>
      <c r="H110" s="14" t="inlineStr">
        <is>
          <t>Atención</t>
        </is>
      </c>
      <c r="I110" s="14" t="inlineStr">
        <is>
          <t>Priorizar hoy</t>
        </is>
      </c>
    </row>
    <row r="111" ht="21" customHeight="1">
      <c r="A111" s="11" t="n">
        <v>107</v>
      </c>
      <c r="B111" s="15" t="inlineStr">
        <is>
          <t>38112</t>
        </is>
      </c>
      <c r="C111" s="12" t="inlineStr">
        <is>
          <t>Insurgentes Parroquia</t>
        </is>
      </c>
      <c r="D111" s="12" t="inlineStr">
        <is>
          <t>Adriana Alejandra Tanus Buhler</t>
        </is>
      </c>
      <c r="E111" s="11" t="n">
        <v>1</v>
      </c>
      <c r="F111" s="11" t="n">
        <v>10</v>
      </c>
      <c r="G111" s="13">
        <f>IFERROR(E111/(E111+F111),0)</f>
        <v/>
      </c>
      <c r="H111" s="14" t="inlineStr">
        <is>
          <t>Atención</t>
        </is>
      </c>
      <c r="I111" s="14" t="inlineStr">
        <is>
          <t>Priorizar hoy</t>
        </is>
      </c>
    </row>
    <row r="112" ht="21" customHeight="1">
      <c r="A112" s="7" t="n">
        <v>108</v>
      </c>
      <c r="B112" s="17" t="inlineStr">
        <is>
          <t>38292</t>
        </is>
      </c>
      <c r="C112" s="8" t="inlineStr">
        <is>
          <t>Jesús del Monte</t>
        </is>
      </c>
      <c r="D112" s="8" t="inlineStr">
        <is>
          <t>Areli Anahi Lazcano Lezama</t>
        </is>
      </c>
      <c r="E112" s="7" t="n">
        <v>1</v>
      </c>
      <c r="F112" s="7" t="n">
        <v>10</v>
      </c>
      <c r="G112" s="9">
        <f>IFERROR(E112/(E112+F112),0)</f>
        <v/>
      </c>
      <c r="H112" s="14" t="inlineStr">
        <is>
          <t>Atención</t>
        </is>
      </c>
      <c r="I112" s="14" t="inlineStr">
        <is>
          <t>Priorizar hoy</t>
        </is>
      </c>
    </row>
    <row r="113" ht="21" customHeight="1">
      <c r="A113" s="11" t="n">
        <v>109</v>
      </c>
      <c r="B113" s="15" t="inlineStr">
        <is>
          <t>43147</t>
        </is>
      </c>
      <c r="C113" s="12" t="inlineStr">
        <is>
          <t>Juarez 70</t>
        </is>
      </c>
      <c r="D113" s="12" t="inlineStr">
        <is>
          <t>Andrea Nava Guzman</t>
        </is>
      </c>
      <c r="E113" s="11" t="n">
        <v>1</v>
      </c>
      <c r="F113" s="11" t="n">
        <v>10</v>
      </c>
      <c r="G113" s="13">
        <f>IFERROR(E113/(E113+F113),0)</f>
        <v/>
      </c>
      <c r="H113" s="14" t="inlineStr">
        <is>
          <t>Atención</t>
        </is>
      </c>
      <c r="I113" s="14" t="inlineStr">
        <is>
          <t>Priorizar hoy</t>
        </is>
      </c>
    </row>
    <row r="114" ht="21" customHeight="1">
      <c r="A114" s="7" t="n">
        <v>110</v>
      </c>
      <c r="B114" s="17" t="inlineStr">
        <is>
          <t>43059</t>
        </is>
      </c>
      <c r="C114" s="8" t="inlineStr">
        <is>
          <t>La Providencia DT</t>
        </is>
      </c>
      <c r="D114" s="8" t="inlineStr">
        <is>
          <t>Daniel Flores Maldonado</t>
        </is>
      </c>
      <c r="E114" s="7" t="n">
        <v>1</v>
      </c>
      <c r="F114" s="7" t="n">
        <v>10</v>
      </c>
      <c r="G114" s="9">
        <f>IFERROR(E114/(E114+F114),0)</f>
        <v/>
      </c>
      <c r="H114" s="14" t="inlineStr">
        <is>
          <t>Atención</t>
        </is>
      </c>
      <c r="I114" s="14" t="inlineStr">
        <is>
          <t>Priorizar hoy</t>
        </is>
      </c>
    </row>
    <row r="115" ht="21" customHeight="1">
      <c r="A115" s="11" t="n">
        <v>111</v>
      </c>
      <c r="B115" s="15" t="inlineStr">
        <is>
          <t>38205</t>
        </is>
      </c>
      <c r="C115" s="12" t="inlineStr">
        <is>
          <t>Lindavista</t>
        </is>
      </c>
      <c r="D115" s="12" t="inlineStr">
        <is>
          <t>Vanessa Carreño Rios</t>
        </is>
      </c>
      <c r="E115" s="11" t="n">
        <v>1</v>
      </c>
      <c r="F115" s="11" t="n">
        <v>10</v>
      </c>
      <c r="G115" s="13">
        <f>IFERROR(E115/(E115+F115),0)</f>
        <v/>
      </c>
      <c r="H115" s="14" t="inlineStr">
        <is>
          <t>Atención</t>
        </is>
      </c>
      <c r="I115" s="14" t="inlineStr">
        <is>
          <t>Priorizar hoy</t>
        </is>
      </c>
    </row>
    <row r="116" ht="21" customHeight="1">
      <c r="A116" s="7" t="n">
        <v>112</v>
      </c>
      <c r="B116" s="17" t="inlineStr">
        <is>
          <t>38227</t>
        </is>
      </c>
      <c r="C116" s="8" t="inlineStr">
        <is>
          <t>Lomas Plaza</t>
        </is>
      </c>
      <c r="D116" s="8" t="inlineStr">
        <is>
          <t>Adriana Alejandra Tanus Buhler</t>
        </is>
      </c>
      <c r="E116" s="7" t="n">
        <v>1</v>
      </c>
      <c r="F116" s="7" t="n">
        <v>10</v>
      </c>
      <c r="G116" s="9">
        <f>IFERROR(E116/(E116+F116),0)</f>
        <v/>
      </c>
      <c r="H116" s="14" t="inlineStr">
        <is>
          <t>Atención</t>
        </is>
      </c>
      <c r="I116" s="14" t="inlineStr">
        <is>
          <t>Priorizar hoy</t>
        </is>
      </c>
    </row>
    <row r="117" ht="21" customHeight="1">
      <c r="A117" s="11" t="n">
        <v>113</v>
      </c>
      <c r="B117" s="15" t="inlineStr">
        <is>
          <t>38185</t>
        </is>
      </c>
      <c r="C117" s="12" t="inlineStr">
        <is>
          <t>Magnocentro</t>
        </is>
      </c>
      <c r="D117" s="12" t="inlineStr">
        <is>
          <t>Areli Anahi Lazcano Lezama</t>
        </is>
      </c>
      <c r="E117" s="11" t="n">
        <v>1</v>
      </c>
      <c r="F117" s="11" t="n">
        <v>10</v>
      </c>
      <c r="G117" s="13">
        <f>IFERROR(E117/(E117+F117),0)</f>
        <v/>
      </c>
      <c r="H117" s="14" t="inlineStr">
        <is>
          <t>Atención</t>
        </is>
      </c>
      <c r="I117" s="14" t="inlineStr">
        <is>
          <t>Priorizar hoy</t>
        </is>
      </c>
    </row>
    <row r="118" ht="21" customHeight="1">
      <c r="A118" s="7" t="n">
        <v>114</v>
      </c>
      <c r="B118" s="17" t="inlineStr">
        <is>
          <t>38730</t>
        </is>
      </c>
      <c r="C118" s="8" t="inlineStr">
        <is>
          <t>Manacar PB</t>
        </is>
      </c>
      <c r="D118" s="8" t="inlineStr">
        <is>
          <t>Adriana Alejandra Tanus Buhler</t>
        </is>
      </c>
      <c r="E118" s="7" t="n">
        <v>1</v>
      </c>
      <c r="F118" s="7" t="n">
        <v>10</v>
      </c>
      <c r="G118" s="9">
        <f>IFERROR(E118/(E118+F118),0)</f>
        <v/>
      </c>
      <c r="H118" s="14" t="inlineStr">
        <is>
          <t>Atención</t>
        </is>
      </c>
      <c r="I118" s="14" t="inlineStr">
        <is>
          <t>Priorizar hoy</t>
        </is>
      </c>
    </row>
    <row r="119" ht="21" customHeight="1">
      <c r="A119" s="11" t="n">
        <v>115</v>
      </c>
      <c r="B119" s="15" t="inlineStr">
        <is>
          <t>38441</t>
        </is>
      </c>
      <c r="C119" s="12" t="inlineStr">
        <is>
          <t>Metepec Plaza del Parque</t>
        </is>
      </c>
      <c r="D119" s="12" t="inlineStr">
        <is>
          <t>Daniel Flores Maldonado</t>
        </is>
      </c>
      <c r="E119" s="11" t="n">
        <v>1</v>
      </c>
      <c r="F119" s="11" t="n">
        <v>10</v>
      </c>
      <c r="G119" s="13">
        <f>IFERROR(E119/(E119+F119),0)</f>
        <v/>
      </c>
      <c r="H119" s="14" t="inlineStr">
        <is>
          <t>Atención</t>
        </is>
      </c>
      <c r="I119" s="14" t="inlineStr">
        <is>
          <t>Priorizar hoy</t>
        </is>
      </c>
    </row>
    <row r="120" ht="21" customHeight="1">
      <c r="A120" s="7" t="n">
        <v>116</v>
      </c>
      <c r="B120" s="17" t="inlineStr">
        <is>
          <t>38193</t>
        </is>
      </c>
      <c r="C120" s="8" t="inlineStr">
        <is>
          <t>Metropoli Patriotismo</t>
        </is>
      </c>
      <c r="D120" s="8" t="inlineStr">
        <is>
          <t>Juan Jesus Zuñiga Flores</t>
        </is>
      </c>
      <c r="E120" s="7" t="n">
        <v>1</v>
      </c>
      <c r="F120" s="7" t="n">
        <v>10</v>
      </c>
      <c r="G120" s="9">
        <f>IFERROR(E120/(E120+F120),0)</f>
        <v/>
      </c>
      <c r="H120" s="14" t="inlineStr">
        <is>
          <t>Atención</t>
        </is>
      </c>
      <c r="I120" s="14" t="inlineStr">
        <is>
          <t>Priorizar hoy</t>
        </is>
      </c>
    </row>
    <row r="121" ht="21" customHeight="1">
      <c r="A121" s="11" t="n">
        <v>117</v>
      </c>
      <c r="B121" s="15" t="inlineStr">
        <is>
          <t>38416</t>
        </is>
      </c>
      <c r="C121" s="12" t="inlineStr">
        <is>
          <t>Mixcoac</t>
        </is>
      </c>
      <c r="D121" s="12" t="inlineStr">
        <is>
          <t>Juan Jesus Zuñiga Flores</t>
        </is>
      </c>
      <c r="E121" s="11" t="n">
        <v>1</v>
      </c>
      <c r="F121" s="11" t="n">
        <v>10</v>
      </c>
      <c r="G121" s="13">
        <f>IFERROR(E121/(E121+F121),0)</f>
        <v/>
      </c>
      <c r="H121" s="14" t="inlineStr">
        <is>
          <t>Atención</t>
        </is>
      </c>
      <c r="I121" s="14" t="inlineStr">
        <is>
          <t>Priorizar hoy</t>
        </is>
      </c>
    </row>
    <row r="122" ht="21" customHeight="1">
      <c r="A122" s="7" t="n">
        <v>118</v>
      </c>
      <c r="B122" s="17" t="inlineStr">
        <is>
          <t>38538</t>
        </is>
      </c>
      <c r="C122" s="8" t="inlineStr">
        <is>
          <t>Monte Pelvoux</t>
        </is>
      </c>
      <c r="D122" s="8" t="inlineStr">
        <is>
          <t>Manuel Alejandro Avila Molina</t>
        </is>
      </c>
      <c r="E122" s="7" t="n">
        <v>1</v>
      </c>
      <c r="F122" s="7" t="n">
        <v>10</v>
      </c>
      <c r="G122" s="9">
        <f>IFERROR(E122/(E122+F122),0)</f>
        <v/>
      </c>
      <c r="H122" s="14" t="inlineStr">
        <is>
          <t>Atención</t>
        </is>
      </c>
      <c r="I122" s="14" t="inlineStr">
        <is>
          <t>Priorizar hoy</t>
        </is>
      </c>
    </row>
    <row r="123" ht="21" customHeight="1">
      <c r="A123" s="11" t="n">
        <v>119</v>
      </c>
      <c r="B123" s="15" t="inlineStr">
        <is>
          <t>43142</t>
        </is>
      </c>
      <c r="C123" s="12" t="inlineStr">
        <is>
          <t>Montes Urales</t>
        </is>
      </c>
      <c r="D123" s="12" t="inlineStr">
        <is>
          <t>Adriana Alejandra Tanus Buhler</t>
        </is>
      </c>
      <c r="E123" s="11" t="n">
        <v>1</v>
      </c>
      <c r="F123" s="11" t="n">
        <v>10</v>
      </c>
      <c r="G123" s="13">
        <f>IFERROR(E123/(E123+F123),0)</f>
        <v/>
      </c>
      <c r="H123" s="14" t="inlineStr">
        <is>
          <t>Atención</t>
        </is>
      </c>
      <c r="I123" s="14" t="inlineStr">
        <is>
          <t>Priorizar hoy</t>
        </is>
      </c>
    </row>
    <row r="124" ht="21" customHeight="1">
      <c r="A124" s="7" t="n">
        <v>120</v>
      </c>
      <c r="B124" s="17" t="inlineStr">
        <is>
          <t>43111</t>
        </is>
      </c>
      <c r="C124" s="8" t="inlineStr">
        <is>
          <t>Montevideo Insurgentes</t>
        </is>
      </c>
      <c r="D124" s="8" t="inlineStr">
        <is>
          <t>Vanessa Carreño Rios</t>
        </is>
      </c>
      <c r="E124" s="7" t="n">
        <v>1</v>
      </c>
      <c r="F124" s="7" t="n">
        <v>10</v>
      </c>
      <c r="G124" s="9">
        <f>IFERROR(E124/(E124+F124),0)</f>
        <v/>
      </c>
      <c r="H124" s="14" t="inlineStr">
        <is>
          <t>Atención</t>
        </is>
      </c>
      <c r="I124" s="14" t="inlineStr">
        <is>
          <t>Priorizar hoy</t>
        </is>
      </c>
    </row>
    <row r="125" ht="21" customHeight="1">
      <c r="A125" s="11" t="n">
        <v>121</v>
      </c>
      <c r="B125" s="15" t="inlineStr">
        <is>
          <t>38530</t>
        </is>
      </c>
      <c r="C125" s="12" t="inlineStr">
        <is>
          <t>Narvarte</t>
        </is>
      </c>
      <c r="D125" s="12" t="inlineStr">
        <is>
          <t>Juan Jesus Zuñiga Flores</t>
        </is>
      </c>
      <c r="E125" s="11" t="n">
        <v>1</v>
      </c>
      <c r="F125" s="11" t="n">
        <v>10</v>
      </c>
      <c r="G125" s="13">
        <f>IFERROR(E125/(E125+F125),0)</f>
        <v/>
      </c>
      <c r="H125" s="14" t="inlineStr">
        <is>
          <t>Atención</t>
        </is>
      </c>
      <c r="I125" s="14" t="inlineStr">
        <is>
          <t>Priorizar hoy</t>
        </is>
      </c>
    </row>
    <row r="126" ht="21" customHeight="1">
      <c r="A126" s="7" t="n">
        <v>122</v>
      </c>
      <c r="B126" s="17" t="inlineStr">
        <is>
          <t>38532</t>
        </is>
      </c>
      <c r="C126" s="8" t="inlineStr">
        <is>
          <t>One o One</t>
        </is>
      </c>
      <c r="D126" s="8" t="inlineStr">
        <is>
          <t>Jose De Jesus Magos Arzaluz</t>
        </is>
      </c>
      <c r="E126" s="7" t="n">
        <v>1</v>
      </c>
      <c r="F126" s="7" t="n">
        <v>10</v>
      </c>
      <c r="G126" s="9">
        <f>IFERROR(E126/(E126+F126),0)</f>
        <v/>
      </c>
      <c r="H126" s="14" t="inlineStr">
        <is>
          <t>Atención</t>
        </is>
      </c>
      <c r="I126" s="14" t="inlineStr">
        <is>
          <t>Priorizar hoy</t>
        </is>
      </c>
    </row>
    <row r="127" ht="21" customHeight="1">
      <c r="A127" s="11" t="n">
        <v>123</v>
      </c>
      <c r="B127" s="15" t="inlineStr">
        <is>
          <t>38668</t>
        </is>
      </c>
      <c r="C127" s="12" t="inlineStr">
        <is>
          <t>Pabellon Metepec</t>
        </is>
      </c>
      <c r="D127" s="12" t="inlineStr">
        <is>
          <t>Daniel Flores Maldonado</t>
        </is>
      </c>
      <c r="E127" s="11" t="n">
        <v>1</v>
      </c>
      <c r="F127" s="11" t="n">
        <v>10</v>
      </c>
      <c r="G127" s="13">
        <f>IFERROR(E127/(E127+F127),0)</f>
        <v/>
      </c>
      <c r="H127" s="14" t="inlineStr">
        <is>
          <t>Atención</t>
        </is>
      </c>
      <c r="I127" s="14" t="inlineStr">
        <is>
          <t>Priorizar hoy</t>
        </is>
      </c>
    </row>
    <row r="128" ht="21" customHeight="1">
      <c r="A128" s="7" t="n">
        <v>124</v>
      </c>
      <c r="B128" s="17" t="inlineStr">
        <is>
          <t>43107</t>
        </is>
      </c>
      <c r="C128" s="8" t="inlineStr">
        <is>
          <t>Pabellón Bosques</t>
        </is>
      </c>
      <c r="D128" s="8" t="inlineStr">
        <is>
          <t>Areli Anahi Lazcano Lezama</t>
        </is>
      </c>
      <c r="E128" s="7" t="n">
        <v>1</v>
      </c>
      <c r="F128" s="7" t="n">
        <v>10</v>
      </c>
      <c r="G128" s="9">
        <f>IFERROR(E128/(E128+F128),0)</f>
        <v/>
      </c>
      <c r="H128" s="14" t="inlineStr">
        <is>
          <t>Atención</t>
        </is>
      </c>
      <c r="I128" s="14" t="inlineStr">
        <is>
          <t>Priorizar hoy</t>
        </is>
      </c>
    </row>
    <row r="129" ht="21" customHeight="1">
      <c r="A129" s="11" t="n">
        <v>125</v>
      </c>
      <c r="B129" s="15" t="inlineStr">
        <is>
          <t>38188</t>
        </is>
      </c>
      <c r="C129" s="12" t="inlineStr">
        <is>
          <t>Palmas</t>
        </is>
      </c>
      <c r="D129" s="12" t="inlineStr">
        <is>
          <t>Adriana Alejandra Tanus Buhler</t>
        </is>
      </c>
      <c r="E129" s="11" t="n">
        <v>1</v>
      </c>
      <c r="F129" s="11" t="n">
        <v>10</v>
      </c>
      <c r="G129" s="13">
        <f>IFERROR(E129/(E129+F129),0)</f>
        <v/>
      </c>
      <c r="H129" s="14" t="inlineStr">
        <is>
          <t>Atención</t>
        </is>
      </c>
      <c r="I129" s="14" t="inlineStr">
        <is>
          <t>Priorizar hoy</t>
        </is>
      </c>
    </row>
    <row r="130" ht="21" customHeight="1">
      <c r="A130" s="7" t="n">
        <v>126</v>
      </c>
      <c r="B130" s="17" t="inlineStr">
        <is>
          <t>38414</t>
        </is>
      </c>
      <c r="C130" s="8" t="inlineStr">
        <is>
          <t>Park Plaza</t>
        </is>
      </c>
      <c r="D130" s="8" t="inlineStr">
        <is>
          <t>Erika Julieta Contreras Aguilera</t>
        </is>
      </c>
      <c r="E130" s="7" t="n">
        <v>1</v>
      </c>
      <c r="F130" s="7" t="n">
        <v>10</v>
      </c>
      <c r="G130" s="9">
        <f>IFERROR(E130/(E130+F130),0)</f>
        <v/>
      </c>
      <c r="H130" s="14" t="inlineStr">
        <is>
          <t>Atención</t>
        </is>
      </c>
      <c r="I130" s="14" t="inlineStr">
        <is>
          <t>Priorizar hoy</t>
        </is>
      </c>
    </row>
    <row r="131" ht="21" customHeight="1">
      <c r="A131" s="11" t="n">
        <v>127</v>
      </c>
      <c r="B131" s="15" t="inlineStr">
        <is>
          <t>43041</t>
        </is>
      </c>
      <c r="C131" s="12" t="inlineStr">
        <is>
          <t>Parque Aztlan</t>
        </is>
      </c>
      <c r="D131" s="12" t="inlineStr">
        <is>
          <t>Manuel Alejandro Avila Molina</t>
        </is>
      </c>
      <c r="E131" s="11" t="n">
        <v>1</v>
      </c>
      <c r="F131" s="11" t="n">
        <v>10</v>
      </c>
      <c r="G131" s="13">
        <f>IFERROR(E131/(E131+F131),0)</f>
        <v/>
      </c>
      <c r="H131" s="14" t="inlineStr">
        <is>
          <t>Atención</t>
        </is>
      </c>
      <c r="I131" s="14" t="inlineStr">
        <is>
          <t>Priorizar hoy</t>
        </is>
      </c>
    </row>
    <row r="132" ht="21" customHeight="1">
      <c r="A132" s="7" t="n">
        <v>128</v>
      </c>
      <c r="B132" s="17" t="inlineStr">
        <is>
          <t>38452</t>
        </is>
      </c>
      <c r="C132" s="8" t="inlineStr">
        <is>
          <t>Parque Interlomas</t>
        </is>
      </c>
      <c r="D132" s="8" t="inlineStr">
        <is>
          <t>Areli Anahi Lazcano Lezama</t>
        </is>
      </c>
      <c r="E132" s="7" t="n">
        <v>1</v>
      </c>
      <c r="F132" s="7" t="n">
        <v>10</v>
      </c>
      <c r="G132" s="9">
        <f>IFERROR(E132/(E132+F132),0)</f>
        <v/>
      </c>
      <c r="H132" s="14" t="inlineStr">
        <is>
          <t>Atención</t>
        </is>
      </c>
      <c r="I132" s="14" t="inlineStr">
        <is>
          <t>Priorizar hoy</t>
        </is>
      </c>
    </row>
    <row r="133" ht="21" customHeight="1">
      <c r="A133" s="11" t="n">
        <v>129</v>
      </c>
      <c r="B133" s="15" t="inlineStr">
        <is>
          <t>38777</t>
        </is>
      </c>
      <c r="C133" s="12" t="inlineStr">
        <is>
          <t>Parque la Mexicana</t>
        </is>
      </c>
      <c r="D133" s="12" t="inlineStr">
        <is>
          <t>Jose De Jesus Magos Arzaluz</t>
        </is>
      </c>
      <c r="E133" s="11" t="n">
        <v>1</v>
      </c>
      <c r="F133" s="11" t="n">
        <v>10</v>
      </c>
      <c r="G133" s="13">
        <f>IFERROR(E133/(E133+F133),0)</f>
        <v/>
      </c>
      <c r="H133" s="14" t="inlineStr">
        <is>
          <t>Atención</t>
        </is>
      </c>
      <c r="I133" s="14" t="inlineStr">
        <is>
          <t>Priorizar hoy</t>
        </is>
      </c>
    </row>
    <row r="134" ht="21" customHeight="1">
      <c r="A134" s="7" t="n">
        <v>130</v>
      </c>
      <c r="B134" s="17" t="inlineStr">
        <is>
          <t>38466</t>
        </is>
      </c>
      <c r="C134" s="8" t="inlineStr">
        <is>
          <t>Paseo Interlomas I</t>
        </is>
      </c>
      <c r="D134" s="8" t="inlineStr">
        <is>
          <t>Areli Anahi Lazcano Lezama</t>
        </is>
      </c>
      <c r="E134" s="7" t="n">
        <v>1</v>
      </c>
      <c r="F134" s="7" t="n">
        <v>10</v>
      </c>
      <c r="G134" s="9">
        <f>IFERROR(E134/(E134+F134),0)</f>
        <v/>
      </c>
      <c r="H134" s="14" t="inlineStr">
        <is>
          <t>Atención</t>
        </is>
      </c>
      <c r="I134" s="14" t="inlineStr">
        <is>
          <t>Priorizar hoy</t>
        </is>
      </c>
    </row>
    <row r="135" ht="21" customHeight="1">
      <c r="A135" s="11" t="n">
        <v>131</v>
      </c>
      <c r="B135" s="15" t="inlineStr">
        <is>
          <t>38553</t>
        </is>
      </c>
      <c r="C135" s="12" t="inlineStr">
        <is>
          <t>Paseo Interlomas II</t>
        </is>
      </c>
      <c r="D135" s="12" t="inlineStr">
        <is>
          <t>Areli Anahi Lazcano Lezama</t>
        </is>
      </c>
      <c r="E135" s="11" t="n">
        <v>1</v>
      </c>
      <c r="F135" s="11" t="n">
        <v>10</v>
      </c>
      <c r="G135" s="13">
        <f>IFERROR(E135/(E135+F135),0)</f>
        <v/>
      </c>
      <c r="H135" s="14" t="inlineStr">
        <is>
          <t>Atención</t>
        </is>
      </c>
      <c r="I135" s="14" t="inlineStr">
        <is>
          <t>Priorizar hoy</t>
        </is>
      </c>
    </row>
    <row r="136" ht="21" customHeight="1">
      <c r="A136" s="7" t="n">
        <v>132</v>
      </c>
      <c r="B136" s="17" t="inlineStr">
        <is>
          <t>38799</t>
        </is>
      </c>
      <c r="C136" s="8" t="inlineStr">
        <is>
          <t>Paseo Interlomas III</t>
        </is>
      </c>
      <c r="D136" s="8" t="inlineStr">
        <is>
          <t>Areli Anahi Lazcano Lezama</t>
        </is>
      </c>
      <c r="E136" s="7" t="n">
        <v>1</v>
      </c>
      <c r="F136" s="7" t="n">
        <v>10</v>
      </c>
      <c r="G136" s="9">
        <f>IFERROR(E136/(E136+F136),0)</f>
        <v/>
      </c>
      <c r="H136" s="14" t="inlineStr">
        <is>
          <t>Atención</t>
        </is>
      </c>
      <c r="I136" s="14" t="inlineStr">
        <is>
          <t>Priorizar hoy</t>
        </is>
      </c>
    </row>
    <row r="137" ht="21" customHeight="1">
      <c r="A137" s="11" t="n">
        <v>133</v>
      </c>
      <c r="B137" s="15" t="inlineStr">
        <is>
          <t>38896</t>
        </is>
      </c>
      <c r="C137" s="12" t="inlineStr">
        <is>
          <t>Paseo Tollocan DT</t>
        </is>
      </c>
      <c r="D137" s="12" t="inlineStr">
        <is>
          <t>Daniel Flores Maldonado</t>
        </is>
      </c>
      <c r="E137" s="11" t="n">
        <v>1</v>
      </c>
      <c r="F137" s="11" t="n">
        <v>10</v>
      </c>
      <c r="G137" s="13">
        <f>IFERROR(E137/(E137+F137),0)</f>
        <v/>
      </c>
      <c r="H137" s="14" t="inlineStr">
        <is>
          <t>Atención</t>
        </is>
      </c>
      <c r="I137" s="14" t="inlineStr">
        <is>
          <t>Priorizar hoy</t>
        </is>
      </c>
    </row>
    <row r="138" ht="21" customHeight="1">
      <c r="A138" s="7" t="n">
        <v>134</v>
      </c>
      <c r="B138" s="17" t="inlineStr">
        <is>
          <t>38722</t>
        </is>
      </c>
      <c r="C138" s="8" t="inlineStr">
        <is>
          <t>Patio Barranca N2</t>
        </is>
      </c>
      <c r="D138" s="8" t="inlineStr">
        <is>
          <t>Manuel Alejandro Avila Molina</t>
        </is>
      </c>
      <c r="E138" s="7" t="n">
        <v>1</v>
      </c>
      <c r="F138" s="7" t="n">
        <v>10</v>
      </c>
      <c r="G138" s="9">
        <f>IFERROR(E138/(E138+F138),0)</f>
        <v/>
      </c>
      <c r="H138" s="14" t="inlineStr">
        <is>
          <t>Atención</t>
        </is>
      </c>
      <c r="I138" s="14" t="inlineStr">
        <is>
          <t>Priorizar hoy</t>
        </is>
      </c>
    </row>
    <row r="139" ht="21" customHeight="1">
      <c r="A139" s="11" t="n">
        <v>135</v>
      </c>
      <c r="B139" s="15" t="inlineStr">
        <is>
          <t>38720</t>
        </is>
      </c>
      <c r="C139" s="12" t="inlineStr">
        <is>
          <t>Patio Barranca PB</t>
        </is>
      </c>
      <c r="D139" s="12" t="inlineStr">
        <is>
          <t>Manuel Alejandro Avila Molina</t>
        </is>
      </c>
      <c r="E139" s="11" t="n">
        <v>1</v>
      </c>
      <c r="F139" s="11" t="n">
        <v>10</v>
      </c>
      <c r="G139" s="13">
        <f>IFERROR(E139/(E139+F139),0)</f>
        <v/>
      </c>
      <c r="H139" s="14" t="inlineStr">
        <is>
          <t>Atención</t>
        </is>
      </c>
      <c r="I139" s="14" t="inlineStr">
        <is>
          <t>Priorizar hoy</t>
        </is>
      </c>
    </row>
    <row r="140" ht="21" customHeight="1">
      <c r="A140" s="7" t="n">
        <v>136</v>
      </c>
      <c r="B140" s="17" t="inlineStr">
        <is>
          <t>38534</t>
        </is>
      </c>
      <c r="C140" s="8" t="inlineStr">
        <is>
          <t>Patio Santa Fe 1</t>
        </is>
      </c>
      <c r="D140" s="8" t="inlineStr">
        <is>
          <t>Erika Julieta Contreras Aguilera</t>
        </is>
      </c>
      <c r="E140" s="7" t="n">
        <v>1</v>
      </c>
      <c r="F140" s="7" t="n">
        <v>10</v>
      </c>
      <c r="G140" s="9">
        <f>IFERROR(E140/(E140+F140),0)</f>
        <v/>
      </c>
      <c r="H140" s="14" t="inlineStr">
        <is>
          <t>Atención</t>
        </is>
      </c>
      <c r="I140" s="14" t="inlineStr">
        <is>
          <t>Priorizar hoy</t>
        </is>
      </c>
    </row>
    <row r="141" ht="21" customHeight="1">
      <c r="A141" s="11" t="n">
        <v>137</v>
      </c>
      <c r="B141" s="15" t="inlineStr">
        <is>
          <t>38749</t>
        </is>
      </c>
      <c r="C141" s="12" t="inlineStr">
        <is>
          <t>Patio Santa Fe 2</t>
        </is>
      </c>
      <c r="D141" s="12" t="inlineStr">
        <is>
          <t>Erika Julieta Contreras Aguilera</t>
        </is>
      </c>
      <c r="E141" s="11" t="n">
        <v>1</v>
      </c>
      <c r="F141" s="11" t="n">
        <v>10</v>
      </c>
      <c r="G141" s="13">
        <f>IFERROR(E141/(E141+F141),0)</f>
        <v/>
      </c>
      <c r="H141" s="14" t="inlineStr">
        <is>
          <t>Atención</t>
        </is>
      </c>
      <c r="I141" s="14" t="inlineStr">
        <is>
          <t>Priorizar hoy</t>
        </is>
      </c>
    </row>
    <row r="142" ht="21" customHeight="1">
      <c r="A142" s="7" t="n">
        <v>138</v>
      </c>
      <c r="B142" s="17" t="inlineStr">
        <is>
          <t>38769</t>
        </is>
      </c>
      <c r="C142" s="8" t="inlineStr">
        <is>
          <t>Patio Toluca</t>
        </is>
      </c>
      <c r="D142" s="8" t="inlineStr">
        <is>
          <t>Andrea Nava Guzman</t>
        </is>
      </c>
      <c r="E142" s="7" t="n">
        <v>1</v>
      </c>
      <c r="F142" s="7" t="n">
        <v>10</v>
      </c>
      <c r="G142" s="9">
        <f>IFERROR(E142/(E142+F142),0)</f>
        <v/>
      </c>
      <c r="H142" s="14" t="inlineStr">
        <is>
          <t>Atención</t>
        </is>
      </c>
      <c r="I142" s="14" t="inlineStr">
        <is>
          <t>Priorizar hoy</t>
        </is>
      </c>
    </row>
    <row r="143" ht="21" customHeight="1">
      <c r="A143" s="11" t="n">
        <v>139</v>
      </c>
      <c r="B143" s="15" t="inlineStr">
        <is>
          <t>38677</t>
        </is>
      </c>
      <c r="C143" s="12" t="inlineStr">
        <is>
          <t>Patio la Raza</t>
        </is>
      </c>
      <c r="D143" s="12" t="inlineStr">
        <is>
          <t>Vanessa Carreño Rios</t>
        </is>
      </c>
      <c r="E143" s="11" t="n">
        <v>1</v>
      </c>
      <c r="F143" s="11" t="n">
        <v>10</v>
      </c>
      <c r="G143" s="13">
        <f>IFERROR(E143/(E143+F143),0)</f>
        <v/>
      </c>
      <c r="H143" s="14" t="inlineStr">
        <is>
          <t>Atención</t>
        </is>
      </c>
      <c r="I143" s="14" t="inlineStr">
        <is>
          <t>Priorizar hoy</t>
        </is>
      </c>
    </row>
    <row r="144" ht="21" customHeight="1">
      <c r="A144" s="7" t="n">
        <v>140</v>
      </c>
      <c r="B144" s="17" t="inlineStr">
        <is>
          <t>38499</t>
        </is>
      </c>
      <c r="C144" s="8" t="inlineStr">
        <is>
          <t>Pennsylvania</t>
        </is>
      </c>
      <c r="D144" s="8" t="inlineStr">
        <is>
          <t>Juan Jesus Zuñiga Flores</t>
        </is>
      </c>
      <c r="E144" s="7" t="n">
        <v>1</v>
      </c>
      <c r="F144" s="7" t="n">
        <v>10</v>
      </c>
      <c r="G144" s="9">
        <f>IFERROR(E144/(E144+F144),0)</f>
        <v/>
      </c>
      <c r="H144" s="14" t="inlineStr">
        <is>
          <t>Atención</t>
        </is>
      </c>
      <c r="I144" s="14" t="inlineStr">
        <is>
          <t>Priorizar hoy</t>
        </is>
      </c>
    </row>
    <row r="145" ht="21" customHeight="1">
      <c r="A145" s="11" t="n">
        <v>141</v>
      </c>
      <c r="B145" s="15" t="inlineStr">
        <is>
          <t>38587</t>
        </is>
      </c>
      <c r="C145" s="12" t="inlineStr">
        <is>
          <t>Plateros</t>
        </is>
      </c>
      <c r="D145" s="12" t="inlineStr">
        <is>
          <t>Juan Jesus Zuñiga Flores</t>
        </is>
      </c>
      <c r="E145" s="11" t="n">
        <v>1</v>
      </c>
      <c r="F145" s="11" t="n">
        <v>10</v>
      </c>
      <c r="G145" s="13">
        <f>IFERROR(E145/(E145+F145),0)</f>
        <v/>
      </c>
      <c r="H145" s="14" t="inlineStr">
        <is>
          <t>Atención</t>
        </is>
      </c>
      <c r="I145" s="14" t="inlineStr">
        <is>
          <t>Priorizar hoy</t>
        </is>
      </c>
    </row>
    <row r="146" ht="21" customHeight="1">
      <c r="A146" s="7" t="n">
        <v>142</v>
      </c>
      <c r="B146" s="17" t="inlineStr">
        <is>
          <t>38810</t>
        </is>
      </c>
      <c r="C146" s="8" t="inlineStr">
        <is>
          <t>Plaza Centenario ( Tenaria)</t>
        </is>
      </c>
      <c r="D146" s="8" t="inlineStr">
        <is>
          <t>Jose De Jesus Magos Arzaluz</t>
        </is>
      </c>
      <c r="E146" s="7" t="n">
        <v>1</v>
      </c>
      <c r="F146" s="7" t="n">
        <v>10</v>
      </c>
      <c r="G146" s="9">
        <f>IFERROR(E146/(E146+F146),0)</f>
        <v/>
      </c>
      <c r="H146" s="14" t="inlineStr">
        <is>
          <t>Atención</t>
        </is>
      </c>
      <c r="I146" s="14" t="inlineStr">
        <is>
          <t>Priorizar hoy</t>
        </is>
      </c>
    </row>
    <row r="147" ht="21" customHeight="1">
      <c r="A147" s="11" t="n">
        <v>143</v>
      </c>
      <c r="B147" s="15" t="inlineStr">
        <is>
          <t>38692</t>
        </is>
      </c>
      <c r="C147" s="12" t="inlineStr">
        <is>
          <t>Plaza Exhibimex</t>
        </is>
      </c>
      <c r="D147" s="12" t="inlineStr">
        <is>
          <t>Adriana Alejandra Tanus Buhler</t>
        </is>
      </c>
      <c r="E147" s="11" t="n">
        <v>1</v>
      </c>
      <c r="F147" s="11" t="n">
        <v>10</v>
      </c>
      <c r="G147" s="13">
        <f>IFERROR(E147/(E147+F147),0)</f>
        <v/>
      </c>
      <c r="H147" s="14" t="inlineStr">
        <is>
          <t>Atención</t>
        </is>
      </c>
      <c r="I147" s="14" t="inlineStr">
        <is>
          <t>Priorizar hoy</t>
        </is>
      </c>
    </row>
    <row r="148" ht="21" customHeight="1">
      <c r="A148" s="7" t="n">
        <v>144</v>
      </c>
      <c r="B148" s="17" t="inlineStr">
        <is>
          <t>38158</t>
        </is>
      </c>
      <c r="C148" s="8" t="inlineStr">
        <is>
          <t>Plaza Lilas</t>
        </is>
      </c>
      <c r="D148" s="8" t="inlineStr">
        <is>
          <t>Jose De Jesus Magos Arzaluz</t>
        </is>
      </c>
      <c r="E148" s="7" t="n">
        <v>1</v>
      </c>
      <c r="F148" s="7" t="n">
        <v>10</v>
      </c>
      <c r="G148" s="9">
        <f>IFERROR(E148/(E148+F148),0)</f>
        <v/>
      </c>
      <c r="H148" s="14" t="inlineStr">
        <is>
          <t>Atención</t>
        </is>
      </c>
      <c r="I148" s="14" t="inlineStr">
        <is>
          <t>Priorizar hoy</t>
        </is>
      </c>
    </row>
    <row r="149" ht="21" customHeight="1">
      <c r="A149" s="11" t="n">
        <v>145</v>
      </c>
      <c r="B149" s="15" t="inlineStr">
        <is>
          <t>38141</t>
        </is>
      </c>
      <c r="C149" s="12" t="inlineStr">
        <is>
          <t>Plaza Mayor Metepec</t>
        </is>
      </c>
      <c r="D149" s="12" t="inlineStr">
        <is>
          <t>Daniel Flores Maldonado</t>
        </is>
      </c>
      <c r="E149" s="11" t="n">
        <v>1</v>
      </c>
      <c r="F149" s="11" t="n">
        <v>10</v>
      </c>
      <c r="G149" s="13">
        <f>IFERROR(E149/(E149+F149),0)</f>
        <v/>
      </c>
      <c r="H149" s="14" t="inlineStr">
        <is>
          <t>Atención</t>
        </is>
      </c>
      <c r="I149" s="14" t="inlineStr">
        <is>
          <t>Priorizar hoy</t>
        </is>
      </c>
    </row>
    <row r="150" ht="21" customHeight="1">
      <c r="A150" s="7" t="n">
        <v>146</v>
      </c>
      <c r="B150" s="17" t="inlineStr">
        <is>
          <t>43132</t>
        </is>
      </c>
      <c r="C150" s="8" t="inlineStr">
        <is>
          <t>Plaza Vista Norte</t>
        </is>
      </c>
      <c r="D150" s="8" t="inlineStr">
        <is>
          <t>Vanessa Carreño Rios</t>
        </is>
      </c>
      <c r="E150" s="7" t="n">
        <v>1</v>
      </c>
      <c r="F150" s="7" t="n">
        <v>10</v>
      </c>
      <c r="G150" s="9">
        <f>IFERROR(E150/(E150+F150),0)</f>
        <v/>
      </c>
      <c r="H150" s="14" t="inlineStr">
        <is>
          <t>Atención</t>
        </is>
      </c>
      <c r="I150" s="14" t="inlineStr">
        <is>
          <t>Priorizar hoy</t>
        </is>
      </c>
    </row>
    <row r="151" ht="21" customHeight="1">
      <c r="A151" s="11" t="n">
        <v>147</v>
      </c>
      <c r="B151" s="15" t="inlineStr">
        <is>
          <t>38106</t>
        </is>
      </c>
      <c r="C151" s="12" t="inlineStr">
        <is>
          <t>Prado Norte</t>
        </is>
      </c>
      <c r="D151" s="12" t="inlineStr">
        <is>
          <t>Adriana Alejandra Tanus Buhler</t>
        </is>
      </c>
      <c r="E151" s="11" t="n">
        <v>1</v>
      </c>
      <c r="F151" s="11" t="n">
        <v>10</v>
      </c>
      <c r="G151" s="13">
        <f>IFERROR(E151/(E151+F151),0)</f>
        <v/>
      </c>
      <c r="H151" s="14" t="inlineStr">
        <is>
          <t>Atención</t>
        </is>
      </c>
      <c r="I151" s="14" t="inlineStr">
        <is>
          <t>Priorizar hoy</t>
        </is>
      </c>
    </row>
    <row r="152" ht="21" customHeight="1">
      <c r="A152" s="7" t="n">
        <v>148</v>
      </c>
      <c r="B152" s="17" t="inlineStr">
        <is>
          <t>38987</t>
        </is>
      </c>
      <c r="C152" s="8" t="inlineStr">
        <is>
          <t>Punta Zero Calimaya DT</t>
        </is>
      </c>
      <c r="D152" s="8" t="inlineStr">
        <is>
          <t>Daniel Flores Maldonado</t>
        </is>
      </c>
      <c r="E152" s="7" t="n">
        <v>1</v>
      </c>
      <c r="F152" s="7" t="n">
        <v>10</v>
      </c>
      <c r="G152" s="9">
        <f>IFERROR(E152/(E152+F152),0)</f>
        <v/>
      </c>
      <c r="H152" s="14" t="inlineStr">
        <is>
          <t>Atención</t>
        </is>
      </c>
      <c r="I152" s="14" t="inlineStr">
        <is>
          <t>Priorizar hoy</t>
        </is>
      </c>
    </row>
    <row r="153" ht="21" customHeight="1">
      <c r="A153" s="11" t="n">
        <v>149</v>
      </c>
      <c r="B153" s="15" t="inlineStr">
        <is>
          <t>38390</t>
        </is>
      </c>
      <c r="C153" s="12" t="inlineStr">
        <is>
          <t>Samara I</t>
        </is>
      </c>
      <c r="D153" s="12" t="inlineStr">
        <is>
          <t>Jose De Jesus Magos Arzaluz</t>
        </is>
      </c>
      <c r="E153" s="11" t="n">
        <v>1</v>
      </c>
      <c r="F153" s="11" t="n">
        <v>10</v>
      </c>
      <c r="G153" s="13">
        <f>IFERROR(E153/(E153+F153),0)</f>
        <v/>
      </c>
      <c r="H153" s="14" t="inlineStr">
        <is>
          <t>Atención</t>
        </is>
      </c>
      <c r="I153" s="14" t="inlineStr">
        <is>
          <t>Priorizar hoy</t>
        </is>
      </c>
    </row>
    <row r="154" ht="21" customHeight="1">
      <c r="A154" s="7" t="n">
        <v>150</v>
      </c>
      <c r="B154" s="17" t="inlineStr">
        <is>
          <t>38445</t>
        </is>
      </c>
      <c r="C154" s="8" t="inlineStr">
        <is>
          <t>Samara II</t>
        </is>
      </c>
      <c r="D154" s="8" t="inlineStr">
        <is>
          <t>Jose De Jesus Magos Arzaluz</t>
        </is>
      </c>
      <c r="E154" s="7" t="n">
        <v>1</v>
      </c>
      <c r="F154" s="7" t="n">
        <v>10</v>
      </c>
      <c r="G154" s="9">
        <f>IFERROR(E154/(E154+F154),0)</f>
        <v/>
      </c>
      <c r="H154" s="14" t="inlineStr">
        <is>
          <t>Atención</t>
        </is>
      </c>
      <c r="I154" s="14" t="inlineStr">
        <is>
          <t>Priorizar hoy</t>
        </is>
      </c>
    </row>
    <row r="155" ht="21" customHeight="1">
      <c r="A155" s="11" t="n">
        <v>151</v>
      </c>
      <c r="B155" s="15" t="inlineStr">
        <is>
          <t>38122</t>
        </is>
      </c>
      <c r="C155" s="12" t="inlineStr">
        <is>
          <t>Santa Fe</t>
        </is>
      </c>
      <c r="D155" s="12" t="inlineStr">
        <is>
          <t>Erika Julieta Contreras Aguilera</t>
        </is>
      </c>
      <c r="E155" s="11" t="n">
        <v>1</v>
      </c>
      <c r="F155" s="11" t="n">
        <v>10</v>
      </c>
      <c r="G155" s="13">
        <f>IFERROR(E155/(E155+F155),0)</f>
        <v/>
      </c>
      <c r="H155" s="14" t="inlineStr">
        <is>
          <t>Atención</t>
        </is>
      </c>
      <c r="I155" s="14" t="inlineStr">
        <is>
          <t>Priorizar hoy</t>
        </is>
      </c>
    </row>
    <row r="156" ht="21" customHeight="1">
      <c r="A156" s="7" t="n">
        <v>152</v>
      </c>
      <c r="B156" s="17" t="inlineStr">
        <is>
          <t>38150</t>
        </is>
      </c>
      <c r="C156" s="8" t="inlineStr">
        <is>
          <t>Santa Fe 2</t>
        </is>
      </c>
      <c r="D156" s="8" t="inlineStr">
        <is>
          <t>Erika Julieta Contreras Aguilera</t>
        </is>
      </c>
      <c r="E156" s="7" t="n">
        <v>1</v>
      </c>
      <c r="F156" s="7" t="n">
        <v>10</v>
      </c>
      <c r="G156" s="9">
        <f>IFERROR(E156/(E156+F156),0)</f>
        <v/>
      </c>
      <c r="H156" s="14" t="inlineStr">
        <is>
          <t>Atención</t>
        </is>
      </c>
      <c r="I156" s="14" t="inlineStr">
        <is>
          <t>Priorizar hoy</t>
        </is>
      </c>
    </row>
    <row r="157" ht="21" customHeight="1">
      <c r="A157" s="11" t="n">
        <v>153</v>
      </c>
      <c r="B157" s="15" t="inlineStr">
        <is>
          <t>38189</t>
        </is>
      </c>
      <c r="C157" s="12" t="inlineStr">
        <is>
          <t>Santa Fe Imax</t>
        </is>
      </c>
      <c r="D157" s="12" t="inlineStr">
        <is>
          <t>Erika Julieta Contreras Aguilera</t>
        </is>
      </c>
      <c r="E157" s="11" t="n">
        <v>1</v>
      </c>
      <c r="F157" s="11" t="n">
        <v>10</v>
      </c>
      <c r="G157" s="13">
        <f>IFERROR(E157/(E157+F157),0)</f>
        <v/>
      </c>
      <c r="H157" s="14" t="inlineStr">
        <is>
          <t>Atención</t>
        </is>
      </c>
      <c r="I157" s="14" t="inlineStr">
        <is>
          <t>Priorizar hoy</t>
        </is>
      </c>
    </row>
    <row r="158" ht="21" customHeight="1">
      <c r="A158" s="7" t="n">
        <v>154</v>
      </c>
      <c r="B158" s="17" t="inlineStr">
        <is>
          <t>38485</t>
        </is>
      </c>
      <c r="C158" s="8" t="inlineStr">
        <is>
          <t>Sendero Toluca</t>
        </is>
      </c>
      <c r="D158" s="8" t="inlineStr">
        <is>
          <t>Daniel Flores Maldonado</t>
        </is>
      </c>
      <c r="E158" s="7" t="n">
        <v>1</v>
      </c>
      <c r="F158" s="7" t="n">
        <v>10</v>
      </c>
      <c r="G158" s="9">
        <f>IFERROR(E158/(E158+F158),0)</f>
        <v/>
      </c>
      <c r="H158" s="14" t="inlineStr">
        <is>
          <t>Atención</t>
        </is>
      </c>
      <c r="I158" s="14" t="inlineStr">
        <is>
          <t>Priorizar hoy</t>
        </is>
      </c>
    </row>
    <row r="159" ht="21" customHeight="1">
      <c r="A159" s="11" t="n">
        <v>155</v>
      </c>
      <c r="B159" s="15" t="inlineStr">
        <is>
          <t>38166</t>
        </is>
      </c>
      <c r="C159" s="12" t="inlineStr">
        <is>
          <t>Superama SantaFe</t>
        </is>
      </c>
      <c r="D159" s="12" t="inlineStr">
        <is>
          <t>Jose De Jesus Magos Arzaluz</t>
        </is>
      </c>
      <c r="E159" s="11" t="n">
        <v>1</v>
      </c>
      <c r="F159" s="11" t="n">
        <v>10</v>
      </c>
      <c r="G159" s="13">
        <f>IFERROR(E159/(E159+F159),0)</f>
        <v/>
      </c>
      <c r="H159" s="14" t="inlineStr">
        <is>
          <t>Atención</t>
        </is>
      </c>
      <c r="I159" s="14" t="inlineStr">
        <is>
          <t>Priorizar hoy</t>
        </is>
      </c>
    </row>
    <row r="160" ht="21" customHeight="1">
      <c r="A160" s="7" t="n">
        <v>156</v>
      </c>
      <c r="B160" s="17" t="inlineStr">
        <is>
          <t>38780</t>
        </is>
      </c>
      <c r="C160" s="8" t="inlineStr">
        <is>
          <t>Tec Santa Fe</t>
        </is>
      </c>
      <c r="D160" s="8" t="inlineStr">
        <is>
          <t>Jose De Jesus Magos Arzaluz</t>
        </is>
      </c>
      <c r="E160" s="7" t="n">
        <v>1</v>
      </c>
      <c r="F160" s="7" t="n">
        <v>10</v>
      </c>
      <c r="G160" s="9">
        <f>IFERROR(E160/(E160+F160),0)</f>
        <v/>
      </c>
      <c r="H160" s="14" t="inlineStr">
        <is>
          <t>Atención</t>
        </is>
      </c>
      <c r="I160" s="14" t="inlineStr">
        <is>
          <t>Priorizar hoy</t>
        </is>
      </c>
    </row>
    <row r="161" ht="21" customHeight="1">
      <c r="A161" s="11" t="n">
        <v>157</v>
      </c>
      <c r="B161" s="15" t="inlineStr">
        <is>
          <t>38319</t>
        </is>
      </c>
      <c r="C161" s="12" t="inlineStr">
        <is>
          <t>Tecnologico Metepec</t>
        </is>
      </c>
      <c r="D161" s="12" t="inlineStr">
        <is>
          <t>Daniel Flores Maldonado</t>
        </is>
      </c>
      <c r="E161" s="11" t="n">
        <v>1</v>
      </c>
      <c r="F161" s="11" t="n">
        <v>10</v>
      </c>
      <c r="G161" s="13">
        <f>IFERROR(E161/(E161+F161),0)</f>
        <v/>
      </c>
      <c r="H161" s="14" t="inlineStr">
        <is>
          <t>Atención</t>
        </is>
      </c>
      <c r="I161" s="14" t="inlineStr">
        <is>
          <t>Priorizar hoy</t>
        </is>
      </c>
    </row>
    <row r="162" ht="21" customHeight="1">
      <c r="A162" s="7" t="n">
        <v>158</v>
      </c>
      <c r="B162" s="17" t="inlineStr">
        <is>
          <t>38233</t>
        </is>
      </c>
      <c r="C162" s="8" t="inlineStr">
        <is>
          <t>Toluca Colon</t>
        </is>
      </c>
      <c r="D162" s="8" t="inlineStr">
        <is>
          <t>Andrea Nava Guzman</t>
        </is>
      </c>
      <c r="E162" s="7" t="n">
        <v>1</v>
      </c>
      <c r="F162" s="7" t="n">
        <v>10</v>
      </c>
      <c r="G162" s="9">
        <f>IFERROR(E162/(E162+F162),0)</f>
        <v/>
      </c>
      <c r="H162" s="14" t="inlineStr">
        <is>
          <t>Atención</t>
        </is>
      </c>
      <c r="I162" s="14" t="inlineStr">
        <is>
          <t>Priorizar hoy</t>
        </is>
      </c>
    </row>
    <row r="163" ht="21" customHeight="1">
      <c r="A163" s="11" t="n">
        <v>159</v>
      </c>
      <c r="B163" s="15" t="inlineStr">
        <is>
          <t>38644</t>
        </is>
      </c>
      <c r="C163" s="12" t="inlineStr">
        <is>
          <t>Torre Virreyes</t>
        </is>
      </c>
      <c r="D163" s="12" t="inlineStr">
        <is>
          <t>Manuel Alejandro Avila Molina</t>
        </is>
      </c>
      <c r="E163" s="11" t="n">
        <v>1</v>
      </c>
      <c r="F163" s="11" t="n">
        <v>10</v>
      </c>
      <c r="G163" s="13">
        <f>IFERROR(E163/(E163+F163),0)</f>
        <v/>
      </c>
      <c r="H163" s="14" t="inlineStr">
        <is>
          <t>Atención</t>
        </is>
      </c>
      <c r="I163" s="14" t="inlineStr">
        <is>
          <t>Priorizar hoy</t>
        </is>
      </c>
    </row>
    <row r="164" ht="21" customHeight="1">
      <c r="A164" s="7" t="n">
        <v>160</v>
      </c>
      <c r="B164" s="17" t="inlineStr">
        <is>
          <t>38751</t>
        </is>
      </c>
      <c r="C164" s="8" t="inlineStr">
        <is>
          <t>Torre Zentrrum II</t>
        </is>
      </c>
      <c r="D164" s="8" t="inlineStr">
        <is>
          <t>Jose De Jesus Magos Arzaluz</t>
        </is>
      </c>
      <c r="E164" s="7" t="n">
        <v>1</v>
      </c>
      <c r="F164" s="7" t="n">
        <v>10</v>
      </c>
      <c r="G164" s="9">
        <f>IFERROR(E164/(E164+F164),0)</f>
        <v/>
      </c>
      <c r="H164" s="14" t="inlineStr">
        <is>
          <t>Atención</t>
        </is>
      </c>
      <c r="I164" s="14" t="inlineStr">
        <is>
          <t>Priorizar hoy</t>
        </is>
      </c>
    </row>
    <row r="165" ht="21" customHeight="1">
      <c r="A165" s="11" t="n">
        <v>161</v>
      </c>
      <c r="B165" s="15" t="inlineStr">
        <is>
          <t>38411</t>
        </is>
      </c>
      <c r="C165" s="12" t="inlineStr">
        <is>
          <t>Torres Lindavista</t>
        </is>
      </c>
      <c r="D165" s="12" t="inlineStr">
        <is>
          <t>Vanessa Carreño Rios</t>
        </is>
      </c>
      <c r="E165" s="11" t="n">
        <v>1</v>
      </c>
      <c r="F165" s="11" t="n">
        <v>10</v>
      </c>
      <c r="G165" s="13">
        <f>IFERROR(E165/(E165+F165),0)</f>
        <v/>
      </c>
      <c r="H165" s="14" t="inlineStr">
        <is>
          <t>Atención</t>
        </is>
      </c>
      <c r="I165" s="14" t="inlineStr">
        <is>
          <t>Priorizar hoy</t>
        </is>
      </c>
    </row>
    <row r="166" ht="21" customHeight="1">
      <c r="A166" s="7" t="n">
        <v>162</v>
      </c>
      <c r="B166" s="17" t="inlineStr">
        <is>
          <t>38841</t>
        </is>
      </c>
      <c r="C166" s="8" t="inlineStr">
        <is>
          <t>Townsquare Metepec</t>
        </is>
      </c>
      <c r="D166" s="8" t="inlineStr">
        <is>
          <t>Daniel Flores Maldonado</t>
        </is>
      </c>
      <c r="E166" s="7" t="n">
        <v>1</v>
      </c>
      <c r="F166" s="7" t="n">
        <v>10</v>
      </c>
      <c r="G166" s="9">
        <f>IFERROR(E166/(E166+F166),0)</f>
        <v/>
      </c>
      <c r="H166" s="14" t="inlineStr">
        <is>
          <t>Atención</t>
        </is>
      </c>
      <c r="I166" s="14" t="inlineStr">
        <is>
          <t>Priorizar hoy</t>
        </is>
      </c>
    </row>
    <row r="167" ht="21" customHeight="1">
      <c r="A167" s="11" t="n">
        <v>163</v>
      </c>
      <c r="B167" s="15" t="inlineStr">
        <is>
          <t>38954</t>
        </is>
      </c>
      <c r="C167" s="12" t="inlineStr">
        <is>
          <t>Universidad Anahuac Campus Sur</t>
        </is>
      </c>
      <c r="D167" s="12" t="inlineStr">
        <is>
          <t>Adriana Alejandra Tanus Buhler</t>
        </is>
      </c>
      <c r="E167" s="11" t="n">
        <v>1</v>
      </c>
      <c r="F167" s="11" t="n">
        <v>10</v>
      </c>
      <c r="G167" s="13">
        <f>IFERROR(E167/(E167+F167),0)</f>
        <v/>
      </c>
      <c r="H167" s="14" t="inlineStr">
        <is>
          <t>Atención</t>
        </is>
      </c>
      <c r="I167" s="14" t="inlineStr">
        <is>
          <t>Priorizar hoy</t>
        </is>
      </c>
    </row>
    <row r="168" ht="21" customHeight="1">
      <c r="A168" s="7" t="n">
        <v>164</v>
      </c>
      <c r="B168" s="17" t="inlineStr">
        <is>
          <t>38179</t>
        </is>
      </c>
      <c r="C168" s="8" t="inlineStr">
        <is>
          <t>Universidad Anáhuac</t>
        </is>
      </c>
      <c r="D168" s="8" t="inlineStr">
        <is>
          <t>Areli Anahi Lazcano Lezama</t>
        </is>
      </c>
      <c r="E168" s="7" t="n">
        <v>1</v>
      </c>
      <c r="F168" s="7" t="n">
        <v>10</v>
      </c>
      <c r="G168" s="9">
        <f>IFERROR(E168/(E168+F168),0)</f>
        <v/>
      </c>
      <c r="H168" s="14" t="inlineStr">
        <is>
          <t>Atención</t>
        </is>
      </c>
      <c r="I168" s="14" t="inlineStr">
        <is>
          <t>Priorizar hoy</t>
        </is>
      </c>
    </row>
    <row r="169" ht="21" customHeight="1">
      <c r="A169" s="11" t="n">
        <v>165</v>
      </c>
      <c r="B169" s="15" t="inlineStr">
        <is>
          <t>38951</t>
        </is>
      </c>
      <c r="C169" s="12" t="inlineStr">
        <is>
          <t>Universidad Panamericana</t>
        </is>
      </c>
      <c r="D169" s="12" t="inlineStr">
        <is>
          <t>Juan Jesus Zuñiga Flores</t>
        </is>
      </c>
      <c r="E169" s="11" t="n">
        <v>1</v>
      </c>
      <c r="F169" s="11" t="n">
        <v>10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7" t="inlineStr">
        <is>
          <t>38651</t>
        </is>
      </c>
      <c r="C170" s="8" t="inlineStr">
        <is>
          <t>Via Vallejo</t>
        </is>
      </c>
      <c r="D170" s="8" t="inlineStr">
        <is>
          <t>Vanessa Carreño Rios</t>
        </is>
      </c>
      <c r="E170" s="7" t="n">
        <v>1</v>
      </c>
      <c r="F170" s="7" t="n">
        <v>10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38694</t>
        </is>
      </c>
      <c r="C171" s="12" t="inlineStr">
        <is>
          <t>Villas de la Hacienda</t>
        </is>
      </c>
      <c r="D171" s="12" t="inlineStr">
        <is>
          <t>Nancy Carolina Rodriguez Medina</t>
        </is>
      </c>
      <c r="E171" s="11" t="n">
        <v>1</v>
      </c>
      <c r="F171" s="11" t="n">
        <v>10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7" t="inlineStr">
        <is>
          <t>38439</t>
        </is>
      </c>
      <c r="C172" s="8" t="inlineStr">
        <is>
          <t>Ángeles Interlomas</t>
        </is>
      </c>
      <c r="D172" s="8" t="inlineStr">
        <is>
          <t>Areli Anahi Lazcano Lezama</t>
        </is>
      </c>
      <c r="E172" s="7" t="n">
        <v>1</v>
      </c>
      <c r="F172" s="7" t="n">
        <v>10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38155</t>
        </is>
      </c>
      <c r="C173" s="12" t="inlineStr">
        <is>
          <t>16 de Septiembre</t>
        </is>
      </c>
      <c r="D173" s="12" t="inlineStr">
        <is>
          <t>Vacante</t>
        </is>
      </c>
      <c r="E173" s="11" t="n">
        <v>0</v>
      </c>
      <c r="F173" s="11" t="n">
        <v>11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7" t="inlineStr">
        <is>
          <t>38497</t>
        </is>
      </c>
      <c r="C174" s="8" t="inlineStr">
        <is>
          <t>5 de Mayo</t>
        </is>
      </c>
      <c r="D174" s="8" t="inlineStr">
        <is>
          <t>Vacante</t>
        </is>
      </c>
      <c r="E174" s="7" t="n">
        <v>0</v>
      </c>
      <c r="F174" s="7" t="n">
        <v>11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38906</t>
        </is>
      </c>
      <c r="C175" s="12" t="inlineStr">
        <is>
          <t>APTO Ciudad de MéxicoAMB PTA 2</t>
        </is>
      </c>
      <c r="D175" s="12" t="inlineStr">
        <is>
          <t>Maria Anallely Sanchez Garcia</t>
        </is>
      </c>
      <c r="E175" s="11" t="n">
        <v>0</v>
      </c>
      <c r="F175" s="11" t="n">
        <v>11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7" t="inlineStr">
        <is>
          <t>38182</t>
        </is>
      </c>
      <c r="C176" s="8" t="inlineStr">
        <is>
          <t>Aeropuerto D8</t>
        </is>
      </c>
      <c r="D176" s="8" t="inlineStr">
        <is>
          <t>Maria Anallely Sanchez Garcia</t>
        </is>
      </c>
      <c r="E176" s="7" t="n">
        <v>0</v>
      </c>
      <c r="F176" s="7" t="n">
        <v>11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38167</t>
        </is>
      </c>
      <c r="C177" s="12" t="inlineStr">
        <is>
          <t>Aeropuerto Dufry</t>
        </is>
      </c>
      <c r="D177" s="12" t="inlineStr">
        <is>
          <t>Maria Anallely Sanchez Garcia</t>
        </is>
      </c>
      <c r="E177" s="11" t="n">
        <v>0</v>
      </c>
      <c r="F177" s="11" t="n">
        <v>11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7" t="inlineStr">
        <is>
          <t>38151</t>
        </is>
      </c>
      <c r="C178" s="8" t="inlineStr">
        <is>
          <t>Aeropuerto II Sala Bravo</t>
        </is>
      </c>
      <c r="D178" s="8" t="inlineStr">
        <is>
          <t>Maria Anallely Sanchez Garcia</t>
        </is>
      </c>
      <c r="E178" s="7" t="n">
        <v>0</v>
      </c>
      <c r="F178" s="7" t="n">
        <v>11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38171</t>
        </is>
      </c>
      <c r="C179" s="12" t="inlineStr">
        <is>
          <t>Aeropuerto Internacional II</t>
        </is>
      </c>
      <c r="D179" s="12" t="inlineStr">
        <is>
          <t>Maria Anallely Sanchez Garcia</t>
        </is>
      </c>
      <c r="E179" s="11" t="n">
        <v>0</v>
      </c>
      <c r="F179" s="11" t="n">
        <v>11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7" t="inlineStr">
        <is>
          <t>38481</t>
        </is>
      </c>
      <c r="C180" s="8" t="inlineStr">
        <is>
          <t>Alfonso Reyes</t>
        </is>
      </c>
      <c r="D180" s="8" t="inlineStr">
        <is>
          <t>Alberto Torrado Aguilar Cauz</t>
        </is>
      </c>
      <c r="E180" s="7" t="n">
        <v>0</v>
      </c>
      <c r="F180" s="7" t="n">
        <v>11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38169</t>
        </is>
      </c>
      <c r="C181" s="12" t="inlineStr">
        <is>
          <t>Altavista</t>
        </is>
      </c>
      <c r="D181" s="12" t="inlineStr">
        <is>
          <t>Cesar Alfonso Castillo Romero</t>
        </is>
      </c>
      <c r="E181" s="11" t="n">
        <v>0</v>
      </c>
      <c r="F181" s="11" t="n">
        <v>11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7" t="inlineStr">
        <is>
          <t>38375</t>
        </is>
      </c>
      <c r="C182" s="8" t="inlineStr">
        <is>
          <t>Americas Ecatepec</t>
        </is>
      </c>
      <c r="D182" s="8" t="inlineStr">
        <is>
          <t>Monica Selene Morales Ibarra</t>
        </is>
      </c>
      <c r="E182" s="7" t="n">
        <v>0</v>
      </c>
      <c r="F182" s="7" t="n">
        <v>11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38415</t>
        </is>
      </c>
      <c r="C183" s="12" t="inlineStr">
        <is>
          <t>Amsterdam</t>
        </is>
      </c>
      <c r="D183" s="12" t="inlineStr">
        <is>
          <t>Alberto Torrado Aguilar Cauz</t>
        </is>
      </c>
      <c r="E183" s="11" t="n">
        <v>0</v>
      </c>
      <c r="F183" s="11" t="n">
        <v>11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7" t="inlineStr">
        <is>
          <t>38101</t>
        </is>
      </c>
      <c r="C184" s="8" t="inlineStr">
        <is>
          <t>Angel</t>
        </is>
      </c>
      <c r="D184" s="8" t="inlineStr">
        <is>
          <t>Guadalupe Ibarra Martínez</t>
        </is>
      </c>
      <c r="E184" s="7" t="n">
        <v>0</v>
      </c>
      <c r="F184" s="7" t="n">
        <v>11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38471</t>
        </is>
      </c>
      <c r="C185" s="12" t="inlineStr">
        <is>
          <t>Angeles Acoxpa</t>
        </is>
      </c>
      <c r="D185" s="12" t="inlineStr">
        <is>
          <t>Fernando Eduardo Verdugo Saldaña</t>
        </is>
      </c>
      <c r="E185" s="11" t="n">
        <v>0</v>
      </c>
      <c r="F185" s="11" t="n">
        <v>11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7" t="inlineStr">
        <is>
          <t>38194</t>
        </is>
      </c>
      <c r="C186" s="8" t="inlineStr">
        <is>
          <t>Antara</t>
        </is>
      </c>
      <c r="D186" s="8" t="inlineStr">
        <is>
          <t>Luis Manuel Neri Saldaña</t>
        </is>
      </c>
      <c r="E186" s="7" t="n">
        <v>0</v>
      </c>
      <c r="F186" s="7" t="n">
        <v>11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38612</t>
        </is>
      </c>
      <c r="C187" s="12" t="inlineStr">
        <is>
          <t>Antara II</t>
        </is>
      </c>
      <c r="D187" s="12" t="inlineStr">
        <is>
          <t>Luis Manuel Neri Saldaña</t>
        </is>
      </c>
      <c r="E187" s="11" t="n">
        <v>0</v>
      </c>
      <c r="F187" s="11" t="n">
        <v>11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38800</t>
        </is>
      </c>
      <c r="C188" s="8" t="inlineStr">
        <is>
          <t>Antenas PA</t>
        </is>
      </c>
      <c r="D188" s="8" t="inlineStr">
        <is>
          <t>Jesus Antonio Elguera Flores</t>
        </is>
      </c>
      <c r="E188" s="7" t="n">
        <v>0</v>
      </c>
      <c r="F188" s="7" t="n">
        <v>11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38801</t>
        </is>
      </c>
      <c r="C189" s="12" t="inlineStr">
        <is>
          <t>Antenas PB</t>
        </is>
      </c>
      <c r="D189" s="12" t="inlineStr">
        <is>
          <t>Jesus Antonio Elguera Flores</t>
        </is>
      </c>
      <c r="E189" s="11" t="n">
        <v>0</v>
      </c>
      <c r="F189" s="11" t="n">
        <v>11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38803</t>
        </is>
      </c>
      <c r="C190" s="8" t="inlineStr">
        <is>
          <t>Apto T1 AMB Puerta 8</t>
        </is>
      </c>
      <c r="D190" s="8" t="inlineStr">
        <is>
          <t>Maria Anallely Sanchez Garcia</t>
        </is>
      </c>
      <c r="E190" s="7" t="n">
        <v>0</v>
      </c>
      <c r="F190" s="7" t="n">
        <v>11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38796</t>
        </is>
      </c>
      <c r="C191" s="12" t="inlineStr">
        <is>
          <t>Apto T1 AMB Sala J</t>
        </is>
      </c>
      <c r="D191" s="12" t="inlineStr">
        <is>
          <t>Maria Anallely Sanchez Garcia</t>
        </is>
      </c>
      <c r="E191" s="11" t="n">
        <v>0</v>
      </c>
      <c r="F191" s="11" t="n">
        <v>11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38795</t>
        </is>
      </c>
      <c r="C192" s="8" t="inlineStr">
        <is>
          <t>Apto T1 Pb N Pta 7</t>
        </is>
      </c>
      <c r="D192" s="8" t="inlineStr">
        <is>
          <t>Maria Anallely Sanchez Garcia</t>
        </is>
      </c>
      <c r="E192" s="7" t="n">
        <v>0</v>
      </c>
      <c r="F192" s="7" t="n">
        <v>11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38567</t>
        </is>
      </c>
      <c r="C193" s="12" t="inlineStr">
        <is>
          <t>Aragon II</t>
        </is>
      </c>
      <c r="D193" s="12" t="inlineStr">
        <is>
          <t>Monica Selene Morales Ibarra</t>
        </is>
      </c>
      <c r="E193" s="11" t="n">
        <v>0</v>
      </c>
      <c r="F193" s="11" t="n">
        <v>11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38784</t>
        </is>
      </c>
      <c r="C194" s="8" t="inlineStr">
        <is>
          <t>Artz Pedregal PB CC</t>
        </is>
      </c>
      <c r="D194" s="8" t="inlineStr">
        <is>
          <t>Hazar Susim Trejo Hernandez</t>
        </is>
      </c>
      <c r="E194" s="7" t="n">
        <v>0</v>
      </c>
      <c r="F194" s="7" t="n">
        <v>11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38791</t>
        </is>
      </c>
      <c r="C195" s="12" t="inlineStr">
        <is>
          <t>Artz Pedregal Reserve</t>
        </is>
      </c>
      <c r="D195" s="12" t="inlineStr">
        <is>
          <t>Hazar Susim Trejo Hernandez</t>
        </is>
      </c>
      <c r="E195" s="11" t="n">
        <v>0</v>
      </c>
      <c r="F195" s="11" t="n">
        <v>11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43163</t>
        </is>
      </c>
      <c r="C196" s="8" t="inlineStr">
        <is>
          <t>Av. México Ixtapaluca</t>
        </is>
      </c>
      <c r="D196" s="8" t="inlineStr">
        <is>
          <t>Jesus Antonio Elguera Flores</t>
        </is>
      </c>
      <c r="E196" s="7" t="n">
        <v>0</v>
      </c>
      <c r="F196" s="7" t="n">
        <v>11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38419</t>
        </is>
      </c>
      <c r="C197" s="12" t="inlineStr">
        <is>
          <t>Balbuena</t>
        </is>
      </c>
      <c r="D197" s="12" t="inlineStr">
        <is>
          <t>Ariana Janet Gutierrez Martinez</t>
        </is>
      </c>
      <c r="E197" s="11" t="n">
        <v>0</v>
      </c>
      <c r="F197" s="11" t="n">
        <v>11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38964</t>
        </is>
      </c>
      <c r="C198" s="8" t="inlineStr">
        <is>
          <t>Biblioteca Tec</t>
        </is>
      </c>
      <c r="D198" s="8" t="inlineStr">
        <is>
          <t>Fernando Eduardo Verdugo Saldaña</t>
        </is>
      </c>
      <c r="E198" s="7" t="n">
        <v>0</v>
      </c>
      <c r="F198" s="7" t="n">
        <v>11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38433</t>
        </is>
      </c>
      <c r="C199" s="12" t="inlineStr">
        <is>
          <t>Bolsa Mexicana de Valores</t>
        </is>
      </c>
      <c r="D199" s="12" t="inlineStr">
        <is>
          <t>Guadalupe Ibarra Martínez</t>
        </is>
      </c>
      <c r="E199" s="11" t="n">
        <v>0</v>
      </c>
      <c r="F199" s="11" t="n">
        <v>11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38367</t>
        </is>
      </c>
      <c r="C200" s="8" t="inlineStr">
        <is>
          <t>CM Coapa</t>
        </is>
      </c>
      <c r="D200" s="8" t="inlineStr">
        <is>
          <t>Fernando Eduardo Verdugo Saldaña</t>
        </is>
      </c>
      <c r="E200" s="7" t="n">
        <v>0</v>
      </c>
      <c r="F200" s="7" t="n">
        <v>11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38619</t>
        </is>
      </c>
      <c r="C201" s="12" t="inlineStr">
        <is>
          <t>Calzada de Tlalpan</t>
        </is>
      </c>
      <c r="D201" s="12" t="inlineStr">
        <is>
          <t>Luis Alberto Quevedo Rodriguez</t>
        </is>
      </c>
      <c r="E201" s="11" t="n">
        <v>0</v>
      </c>
      <c r="F201" s="11" t="n">
        <v>11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38108</t>
        </is>
      </c>
      <c r="C202" s="8" t="inlineStr">
        <is>
          <t>Campos Eliseos</t>
        </is>
      </c>
      <c r="D202" s="8" t="inlineStr">
        <is>
          <t>Alberto Torrado Aguilar Cauz</t>
        </is>
      </c>
      <c r="E202" s="7" t="n">
        <v>0</v>
      </c>
      <c r="F202" s="7" t="n">
        <v>11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38555</t>
        </is>
      </c>
      <c r="C203" s="12" t="inlineStr">
        <is>
          <t>Capital Reforma</t>
        </is>
      </c>
      <c r="D203" s="12" t="inlineStr">
        <is>
          <t>Guadalupe Ibarra Martínez</t>
        </is>
      </c>
      <c r="E203" s="11" t="n">
        <v>0</v>
      </c>
      <c r="F203" s="11" t="n">
        <v>11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38594</t>
        </is>
      </c>
      <c r="C204" s="8" t="inlineStr">
        <is>
          <t>Carretera Mexico Puebla</t>
        </is>
      </c>
      <c r="D204" s="8" t="inlineStr">
        <is>
          <t>Jesus Antonio Elguera Flores</t>
        </is>
      </c>
      <c r="E204" s="7" t="n">
        <v>0</v>
      </c>
      <c r="F204" s="7" t="n">
        <v>11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38399</t>
        </is>
      </c>
      <c r="C205" s="12" t="inlineStr">
        <is>
          <t>Carso Polanco I</t>
        </is>
      </c>
      <c r="D205" s="12" t="inlineStr">
        <is>
          <t>Luis Manuel Neri Saldaña</t>
        </is>
      </c>
      <c r="E205" s="11" t="n">
        <v>0</v>
      </c>
      <c r="F205" s="11" t="n">
        <v>11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38496</t>
        </is>
      </c>
      <c r="C206" s="8" t="inlineStr">
        <is>
          <t>Casa Taxqueña</t>
        </is>
      </c>
      <c r="D206" s="8" t="inlineStr">
        <is>
          <t>Ariana Janet Gutierrez Martinez</t>
        </is>
      </c>
      <c r="E206" s="7" t="n">
        <v>0</v>
      </c>
      <c r="F206" s="7" t="n">
        <v>11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38470</t>
        </is>
      </c>
      <c r="C207" s="12" t="inlineStr">
        <is>
          <t>Chapultepec Reforma</t>
        </is>
      </c>
      <c r="D207" s="12" t="inlineStr">
        <is>
          <t>Luis Manuel Neri Saldaña</t>
        </is>
      </c>
      <c r="E207" s="11" t="n">
        <v>0</v>
      </c>
      <c r="F207" s="11" t="n">
        <v>11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38526</t>
        </is>
      </c>
      <c r="C208" s="8" t="inlineStr">
        <is>
          <t>City Shops Del Valle</t>
        </is>
      </c>
      <c r="D208" s="8" t="inlineStr">
        <is>
          <t>Luis Alberto Quevedo Rodriguez</t>
        </is>
      </c>
      <c r="E208" s="7" t="n">
        <v>0</v>
      </c>
      <c r="F208" s="7" t="n">
        <v>11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38351</t>
        </is>
      </c>
      <c r="C209" s="12" t="inlineStr">
        <is>
          <t>Ciudad Jardin l</t>
        </is>
      </c>
      <c r="D209" s="12" t="inlineStr">
        <is>
          <t>Monica Selene Morales Ibarra</t>
        </is>
      </c>
      <c r="E209" s="11" t="n">
        <v>0</v>
      </c>
      <c r="F209" s="11" t="n">
        <v>11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38511</t>
        </is>
      </c>
      <c r="C210" s="8" t="inlineStr">
        <is>
          <t>Ciudad Jardin ll</t>
        </is>
      </c>
      <c r="D210" s="8" t="inlineStr">
        <is>
          <t>Monica Selene Morales Ibarra</t>
        </is>
      </c>
      <c r="E210" s="7" t="n">
        <v>0</v>
      </c>
      <c r="F210" s="7" t="n">
        <v>11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38393</t>
        </is>
      </c>
      <c r="C211" s="12" t="inlineStr">
        <is>
          <t>Coapa Chedraui</t>
        </is>
      </c>
      <c r="D211" s="12" t="inlineStr">
        <is>
          <t>Fernando Eduardo Verdugo Saldaña</t>
        </is>
      </c>
      <c r="E211" s="11" t="n">
        <v>0</v>
      </c>
      <c r="F211" s="11" t="n">
        <v>11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38128</t>
        </is>
      </c>
      <c r="C212" s="8" t="inlineStr">
        <is>
          <t>Condesa</t>
        </is>
      </c>
      <c r="D212" s="8" t="inlineStr">
        <is>
          <t>Alberto Torrado Aguilar Cauz</t>
        </is>
      </c>
      <c r="E212" s="7" t="n">
        <v>0</v>
      </c>
      <c r="F212" s="7" t="n">
        <v>11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38663</t>
        </is>
      </c>
      <c r="C213" s="12" t="inlineStr">
        <is>
          <t>Copilco 20</t>
        </is>
      </c>
      <c r="D213" s="12" t="inlineStr">
        <is>
          <t>Jaqueline Cortes Ayala</t>
        </is>
      </c>
      <c r="E213" s="11" t="n">
        <v>0</v>
      </c>
      <c r="F213" s="11" t="n">
        <v>11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38464</t>
        </is>
      </c>
      <c r="C214" s="8" t="inlineStr">
        <is>
          <t>Corporativo Coyoacan</t>
        </is>
      </c>
      <c r="D214" s="8" t="inlineStr">
        <is>
          <t>Luis Alberto Quevedo Rodriguez</t>
        </is>
      </c>
      <c r="E214" s="7" t="n">
        <v>0</v>
      </c>
      <c r="F214" s="7" t="n">
        <v>11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38422</t>
        </is>
      </c>
      <c r="C215" s="12" t="inlineStr">
        <is>
          <t>Corporativo HSBC</t>
        </is>
      </c>
      <c r="D215" s="12" t="inlineStr">
        <is>
          <t>Guadalupe Ibarra Martínez</t>
        </is>
      </c>
      <c r="E215" s="11" t="n">
        <v>0</v>
      </c>
      <c r="F215" s="11" t="n">
        <v>11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38118</t>
        </is>
      </c>
      <c r="C216" s="8" t="inlineStr">
        <is>
          <t>Corporativo Polanco</t>
        </is>
      </c>
      <c r="D216" s="8" t="inlineStr">
        <is>
          <t>Luis Manuel Neri Saldaña</t>
        </is>
      </c>
      <c r="E216" s="7" t="n">
        <v>0</v>
      </c>
      <c r="F216" s="7" t="n">
        <v>11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38365</t>
        </is>
      </c>
      <c r="C217" s="12" t="inlineStr">
        <is>
          <t>Coyoacan Centro</t>
        </is>
      </c>
      <c r="D217" s="12" t="inlineStr">
        <is>
          <t>Jaqueline Cortes Ayala</t>
        </is>
      </c>
      <c r="E217" s="11" t="n">
        <v>0</v>
      </c>
      <c r="F217" s="11" t="n">
        <v>11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38340</t>
        </is>
      </c>
      <c r="C218" s="8" t="inlineStr">
        <is>
          <t>Division del Norte</t>
        </is>
      </c>
      <c r="D218" s="8" t="inlineStr">
        <is>
          <t>Luis Alberto Quevedo Rodriguez</t>
        </is>
      </c>
      <c r="E218" s="7" t="n">
        <v>0</v>
      </c>
      <c r="F218" s="7" t="n">
        <v>11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38579</t>
        </is>
      </c>
      <c r="C219" s="12" t="inlineStr">
        <is>
          <t>Division del Norte II</t>
        </is>
      </c>
      <c r="D219" s="12" t="inlineStr">
        <is>
          <t>Luis Alberto Quevedo Rodriguez</t>
        </is>
      </c>
      <c r="E219" s="11" t="n">
        <v>0</v>
      </c>
      <c r="F219" s="11" t="n">
        <v>11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38405</t>
        </is>
      </c>
      <c r="C220" s="8" t="inlineStr">
        <is>
          <t>Ejercito Nacional</t>
        </is>
      </c>
      <c r="D220" s="8" t="inlineStr">
        <is>
          <t>Luis Manuel Neri Saldaña</t>
        </is>
      </c>
      <c r="E220" s="7" t="n">
        <v>0</v>
      </c>
      <c r="F220" s="7" t="n">
        <v>11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38203</t>
        </is>
      </c>
      <c r="C221" s="12" t="inlineStr">
        <is>
          <t>Embassy Suites</t>
        </is>
      </c>
      <c r="D221" s="12" t="inlineStr">
        <is>
          <t>Vacante</t>
        </is>
      </c>
      <c r="E221" s="11" t="n">
        <v>0</v>
      </c>
      <c r="F221" s="11" t="n">
        <v>11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38597</t>
        </is>
      </c>
      <c r="C222" s="8" t="inlineStr">
        <is>
          <t>Emerson</t>
        </is>
      </c>
      <c r="D222" s="8" t="inlineStr">
        <is>
          <t>Alberto Torrado Aguilar Cauz</t>
        </is>
      </c>
      <c r="E222" s="7" t="n">
        <v>0</v>
      </c>
      <c r="F222" s="7" t="n">
        <v>11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38234</t>
        </is>
      </c>
      <c r="C223" s="12" t="inlineStr">
        <is>
          <t>Fiesta Americana Reforma</t>
        </is>
      </c>
      <c r="D223" s="12" t="inlineStr">
        <is>
          <t>Vacante</t>
        </is>
      </c>
      <c r="E223" s="11" t="n">
        <v>0</v>
      </c>
      <c r="F223" s="11" t="n">
        <v>11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38483</t>
        </is>
      </c>
      <c r="C224" s="8" t="inlineStr">
        <is>
          <t>Forum Buenavista</t>
        </is>
      </c>
      <c r="D224" s="8" t="inlineStr">
        <is>
          <t>Nora Caracas Saldaña</t>
        </is>
      </c>
      <c r="E224" s="7" t="n">
        <v>0</v>
      </c>
      <c r="F224" s="7" t="n">
        <v>11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38554</t>
        </is>
      </c>
      <c r="C225" s="12" t="inlineStr">
        <is>
          <t>Forum Buenavista II</t>
        </is>
      </c>
      <c r="D225" s="12" t="inlineStr">
        <is>
          <t>Nora Caracas Saldaña</t>
        </is>
      </c>
      <c r="E225" s="11" t="n">
        <v>0</v>
      </c>
      <c r="F225" s="11" t="n">
        <v>11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38469</t>
        </is>
      </c>
      <c r="C226" s="8" t="inlineStr">
        <is>
          <t>Galerias Coapa</t>
        </is>
      </c>
      <c r="D226" s="8" t="inlineStr">
        <is>
          <t>Fernando Eduardo Verdugo Saldaña</t>
        </is>
      </c>
      <c r="E226" s="7" t="n">
        <v>0</v>
      </c>
      <c r="F226" s="7" t="n">
        <v>11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38138</t>
        </is>
      </c>
      <c r="C227" s="12" t="inlineStr">
        <is>
          <t>Galerias metepec 1</t>
        </is>
      </c>
      <c r="D227" s="12" t="inlineStr">
        <is>
          <t>Daniel Flores Maldonado</t>
        </is>
      </c>
      <c r="E227" s="11" t="n">
        <v>0</v>
      </c>
      <c r="F227" s="11" t="n">
        <v>11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38484</t>
        </is>
      </c>
      <c r="C228" s="8" t="inlineStr">
        <is>
          <t>Gandhi</t>
        </is>
      </c>
      <c r="D228" s="8" t="inlineStr">
        <is>
          <t>Jaqueline Cortes Ayala</t>
        </is>
      </c>
      <c r="E228" s="7" t="n">
        <v>0</v>
      </c>
      <c r="F228" s="7" t="n">
        <v>11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38172</t>
        </is>
      </c>
      <c r="C229" s="12" t="inlineStr">
        <is>
          <t>Gran Sur</t>
        </is>
      </c>
      <c r="D229" s="12" t="inlineStr">
        <is>
          <t>Hazar Susim Trejo Hernandez</t>
        </is>
      </c>
      <c r="E229" s="11" t="n">
        <v>0</v>
      </c>
      <c r="F229" s="11" t="n">
        <v>11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38615</t>
        </is>
      </c>
      <c r="C230" s="8" t="inlineStr">
        <is>
          <t>Grand San Jeronimo</t>
        </is>
      </c>
      <c r="D230" s="8" t="inlineStr">
        <is>
          <t>Cesar Alfonso Castillo Romero</t>
        </is>
      </c>
      <c r="E230" s="7" t="n">
        <v>0</v>
      </c>
      <c r="F230" s="7" t="n">
        <v>11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38382</t>
        </is>
      </c>
      <c r="C231" s="12" t="inlineStr">
        <is>
          <t>Homero</t>
        </is>
      </c>
      <c r="D231" s="12" t="inlineStr">
        <is>
          <t>Alberto Torrado Aguilar Cauz</t>
        </is>
      </c>
      <c r="E231" s="11" t="n">
        <v>0</v>
      </c>
      <c r="F231" s="11" t="n">
        <v>11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38850</t>
        </is>
      </c>
      <c r="C232" s="8" t="inlineStr">
        <is>
          <t>Hospital Angeles Clinica Londres</t>
        </is>
      </c>
      <c r="D232" s="8" t="inlineStr">
        <is>
          <t>Nora Caracas Saldaña</t>
        </is>
      </c>
      <c r="E232" s="7" t="n">
        <v>0</v>
      </c>
      <c r="F232" s="7" t="n">
        <v>11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38440</t>
        </is>
      </c>
      <c r="C233" s="12" t="inlineStr">
        <is>
          <t>Hospital Angeles Metropolitano</t>
        </is>
      </c>
      <c r="D233" s="12" t="inlineStr">
        <is>
          <t>Nora Caracas Saldaña</t>
        </is>
      </c>
      <c r="E233" s="11" t="n">
        <v>0</v>
      </c>
      <c r="F233" s="11" t="n">
        <v>11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38447</t>
        </is>
      </c>
      <c r="C234" s="8" t="inlineStr">
        <is>
          <t>Hospital Angeles del Pedregal</t>
        </is>
      </c>
      <c r="D234" s="8" t="inlineStr">
        <is>
          <t>Cesar Alfonso Castillo Romero</t>
        </is>
      </c>
      <c r="E234" s="7" t="n">
        <v>0</v>
      </c>
      <c r="F234" s="7" t="n">
        <v>11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43159</t>
        </is>
      </c>
      <c r="C235" s="12" t="inlineStr">
        <is>
          <t>Hospital Angeles del Pedregal II</t>
        </is>
      </c>
      <c r="D235" s="12" t="inlineStr">
        <is>
          <t>Cesar Alfonso Castillo Romero</t>
        </is>
      </c>
      <c r="E235" s="11" t="n">
        <v>0</v>
      </c>
      <c r="F235" s="11" t="n">
        <v>11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38152</t>
        </is>
      </c>
      <c r="C236" s="8" t="inlineStr">
        <is>
          <t>Insurgentes Relox</t>
        </is>
      </c>
      <c r="D236" s="8" t="inlineStr">
        <is>
          <t>Jaqueline Cortes Ayala</t>
        </is>
      </c>
      <c r="E236" s="7" t="n">
        <v>0</v>
      </c>
      <c r="F236" s="7" t="n">
        <v>11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43188</t>
        </is>
      </c>
      <c r="C237" s="12" t="inlineStr">
        <is>
          <t>Insurgentes Tehuantepec</t>
        </is>
      </c>
      <c r="D237" s="12" t="inlineStr">
        <is>
          <t>Guadalupe Ibarra Martínez</t>
        </is>
      </c>
      <c r="E237" s="11" t="n">
        <v>0</v>
      </c>
      <c r="F237" s="11" t="n">
        <v>11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38504</t>
        </is>
      </c>
      <c r="C238" s="8" t="inlineStr">
        <is>
          <t>Insurgentes Wtc</t>
        </is>
      </c>
      <c r="D238" s="8" t="inlineStr">
        <is>
          <t>Nora Caracas Saldaña</t>
        </is>
      </c>
      <c r="E238" s="7" t="n">
        <v>0</v>
      </c>
      <c r="F238" s="7" t="n">
        <v>11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38126</t>
        </is>
      </c>
      <c r="C239" s="12" t="inlineStr">
        <is>
          <t>Interlomas</t>
        </is>
      </c>
      <c r="D239" s="12" t="inlineStr">
        <is>
          <t>Areli Anahi Lazcano Lezama</t>
        </is>
      </c>
      <c r="E239" s="11" t="n">
        <v>0</v>
      </c>
      <c r="F239" s="11" t="n">
        <v>11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38219</t>
        </is>
      </c>
      <c r="C240" s="8" t="inlineStr">
        <is>
          <t>Irrigacion</t>
        </is>
      </c>
      <c r="D240" s="8" t="inlineStr">
        <is>
          <t>Luis Manuel Neri Saldaña</t>
        </is>
      </c>
      <c r="E240" s="7" t="n">
        <v>0</v>
      </c>
      <c r="F240" s="7" t="n">
        <v>11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38428</t>
        </is>
      </c>
      <c r="C241" s="12" t="inlineStr">
        <is>
          <t>Jardines del Pedregal</t>
        </is>
      </c>
      <c r="D241" s="12" t="inlineStr">
        <is>
          <t>Cesar Alfonso Castillo Romero</t>
        </is>
      </c>
      <c r="E241" s="11" t="n">
        <v>0</v>
      </c>
      <c r="F241" s="11" t="n">
        <v>11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38571</t>
        </is>
      </c>
      <c r="C242" s="8" t="inlineStr">
        <is>
          <t>Jolie Place</t>
        </is>
      </c>
      <c r="D242" s="8" t="inlineStr">
        <is>
          <t>Cesar Alfonso Castillo Romero</t>
        </is>
      </c>
      <c r="E242" s="7" t="n">
        <v>0</v>
      </c>
      <c r="F242" s="7" t="n">
        <v>11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38113</t>
        </is>
      </c>
      <c r="C243" s="12" t="inlineStr">
        <is>
          <t>Juan Pablo II</t>
        </is>
      </c>
      <c r="D243" s="12" t="inlineStr">
        <is>
          <t>Jaqueline Cortes Ayala</t>
        </is>
      </c>
      <c r="E243" s="11" t="n">
        <v>0</v>
      </c>
      <c r="F243" s="11" t="n">
        <v>11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38465</t>
        </is>
      </c>
      <c r="C244" s="8" t="inlineStr">
        <is>
          <t>Juarez 32</t>
        </is>
      </c>
      <c r="D244" s="8" t="inlineStr">
        <is>
          <t>Vacante</t>
        </is>
      </c>
      <c r="E244" s="7" t="n">
        <v>0</v>
      </c>
      <c r="F244" s="7" t="n">
        <v>11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38312</t>
        </is>
      </c>
      <c r="C245" s="12" t="inlineStr">
        <is>
          <t>La Salle</t>
        </is>
      </c>
      <c r="D245" s="12" t="inlineStr">
        <is>
          <t>Nora Caracas Saldaña</t>
        </is>
      </c>
      <c r="E245" s="11" t="n">
        <v>0</v>
      </c>
      <c r="F245" s="11" t="n">
        <v>11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38207</t>
        </is>
      </c>
      <c r="C246" s="8" t="inlineStr">
        <is>
          <t>Lindavista II</t>
        </is>
      </c>
      <c r="D246" s="8" t="inlineStr">
        <is>
          <t>Vanessa Carreño Rios</t>
        </is>
      </c>
      <c r="E246" s="7" t="n">
        <v>0</v>
      </c>
      <c r="F246" s="7" t="n">
        <v>10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38272</t>
        </is>
      </c>
      <c r="C247" s="12" t="inlineStr">
        <is>
          <t>Londres</t>
        </is>
      </c>
      <c r="D247" s="12" t="inlineStr">
        <is>
          <t>Guadalupe Ibarra Martínez</t>
        </is>
      </c>
      <c r="E247" s="11" t="n">
        <v>0</v>
      </c>
      <c r="F247" s="11" t="n">
        <v>11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43034</t>
        </is>
      </c>
      <c r="C248" s="8" t="inlineStr">
        <is>
          <t>Macroplaza Tecamac</t>
        </is>
      </c>
      <c r="D248" s="8" t="inlineStr">
        <is>
          <t>Monica Selene Morales Ibarra</t>
        </is>
      </c>
      <c r="E248" s="7" t="n">
        <v>0</v>
      </c>
      <c r="F248" s="7" t="n">
        <v>11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38487</t>
        </is>
      </c>
      <c r="C249" s="12" t="inlineStr">
        <is>
          <t>Madero</t>
        </is>
      </c>
      <c r="D249" s="12" t="inlineStr">
        <is>
          <t>Vacante</t>
        </is>
      </c>
      <c r="E249" s="11" t="n">
        <v>0</v>
      </c>
      <c r="F249" s="11" t="n">
        <v>11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38111</t>
        </is>
      </c>
      <c r="C250" s="8" t="inlineStr">
        <is>
          <t>Masarik</t>
        </is>
      </c>
      <c r="D250" s="8" t="inlineStr">
        <is>
          <t>Luis Manuel Neri Saldaña</t>
        </is>
      </c>
      <c r="E250" s="7" t="n">
        <v>0</v>
      </c>
      <c r="F250" s="7" t="n">
        <v>11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38191</t>
        </is>
      </c>
      <c r="C251" s="12" t="inlineStr">
        <is>
          <t>Masarik Spencer</t>
        </is>
      </c>
      <c r="D251" s="12" t="inlineStr">
        <is>
          <t>Alberto Torrado Aguilar Cauz</t>
        </is>
      </c>
      <c r="E251" s="11" t="n">
        <v>0</v>
      </c>
      <c r="F251" s="11" t="n">
        <v>11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38406</t>
        </is>
      </c>
      <c r="C252" s="8" t="inlineStr">
        <is>
          <t>Medica Sur</t>
        </is>
      </c>
      <c r="D252" s="8" t="inlineStr">
        <is>
          <t>Hazar Susim Trejo Hernandez</t>
        </is>
      </c>
      <c r="E252" s="7" t="n">
        <v>0</v>
      </c>
      <c r="F252" s="7" t="n">
        <v>11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38398</t>
        </is>
      </c>
      <c r="C253" s="12" t="inlineStr">
        <is>
          <t>Mexfund Pedregal</t>
        </is>
      </c>
      <c r="D253" s="12" t="inlineStr">
        <is>
          <t>Cesar Alfonso Castillo Romero</t>
        </is>
      </c>
      <c r="E253" s="11" t="n">
        <v>0</v>
      </c>
      <c r="F253" s="11" t="n">
        <v>11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38208</t>
        </is>
      </c>
      <c r="C254" s="8" t="inlineStr">
        <is>
          <t>Miguel Angel de Quevedo II</t>
        </is>
      </c>
      <c r="D254" s="8" t="inlineStr">
        <is>
          <t>Jaqueline Cortes Ayala</t>
        </is>
      </c>
      <c r="E254" s="7" t="n">
        <v>0</v>
      </c>
      <c r="F254" s="7" t="n">
        <v>11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38239</t>
        </is>
      </c>
      <c r="C255" s="12" t="inlineStr">
        <is>
          <t>Miguel Angel de Quevedo III</t>
        </is>
      </c>
      <c r="D255" s="12" t="inlineStr">
        <is>
          <t>Jaqueline Cortes Ayala</t>
        </is>
      </c>
      <c r="E255" s="11" t="n">
        <v>0</v>
      </c>
      <c r="F255" s="11" t="n">
        <v>11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38114</t>
        </is>
      </c>
      <c r="C256" s="8" t="inlineStr">
        <is>
          <t>Miramontes</t>
        </is>
      </c>
      <c r="D256" s="8" t="inlineStr">
        <is>
          <t>Fernando Eduardo Verdugo Saldaña</t>
        </is>
      </c>
      <c r="E256" s="7" t="n">
        <v>0</v>
      </c>
      <c r="F256" s="7" t="n">
        <v>11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38888</t>
        </is>
      </c>
      <c r="C257" s="12" t="inlineStr">
        <is>
          <t>Mitikah</t>
        </is>
      </c>
      <c r="D257" s="12" t="inlineStr">
        <is>
          <t>Luis Alberto Quevedo Rodriguez</t>
        </is>
      </c>
      <c r="E257" s="11" t="n">
        <v>0</v>
      </c>
      <c r="F257" s="11" t="n">
        <v>11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38941</t>
        </is>
      </c>
      <c r="C258" s="8" t="inlineStr">
        <is>
          <t>Mitikah Restaurantes</t>
        </is>
      </c>
      <c r="D258" s="8" t="inlineStr">
        <is>
          <t>Luis Alberto Quevedo Rodriguez</t>
        </is>
      </c>
      <c r="E258" s="7" t="n">
        <v>0</v>
      </c>
      <c r="F258" s="7" t="n">
        <v>11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38676</t>
        </is>
      </c>
      <c r="C259" s="12" t="inlineStr">
        <is>
          <t>Miyana</t>
        </is>
      </c>
      <c r="D259" s="12" t="inlineStr">
        <is>
          <t>Luis Manuel Neri Saldaña</t>
        </is>
      </c>
      <c r="E259" s="11" t="n">
        <v>0</v>
      </c>
      <c r="F259" s="11" t="n">
        <v>11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38982</t>
        </is>
      </c>
      <c r="C260" s="8" t="inlineStr">
        <is>
          <t>Miyana II</t>
        </is>
      </c>
      <c r="D260" s="8" t="inlineStr">
        <is>
          <t>Luis Manuel Neri Saldaña</t>
        </is>
      </c>
      <c r="E260" s="7" t="n">
        <v>0</v>
      </c>
      <c r="F260" s="7" t="n">
        <v>11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38627</t>
        </is>
      </c>
      <c r="C261" s="12" t="inlineStr">
        <is>
          <t>Moliere 222</t>
        </is>
      </c>
      <c r="D261" s="12" t="inlineStr">
        <is>
          <t>Alberto Torrado Aguilar Cauz</t>
        </is>
      </c>
      <c r="E261" s="11" t="n">
        <v>0</v>
      </c>
      <c r="F261" s="11" t="n">
        <v>11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38498</t>
        </is>
      </c>
      <c r="C262" s="8" t="inlineStr">
        <is>
          <t>Montecitos Wtc</t>
        </is>
      </c>
      <c r="D262" s="8" t="inlineStr">
        <is>
          <t>Nora Caracas Saldaña</t>
        </is>
      </c>
      <c r="E262" s="7" t="n">
        <v>0</v>
      </c>
      <c r="F262" s="7" t="n">
        <v>11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38716</t>
        </is>
      </c>
      <c r="C263" s="12" t="inlineStr">
        <is>
          <t>Multiplaza Bosques</t>
        </is>
      </c>
      <c r="D263" s="12" t="inlineStr">
        <is>
          <t>Monica Selene Morales Ibarra</t>
        </is>
      </c>
      <c r="E263" s="11" t="n">
        <v>0</v>
      </c>
      <c r="F263" s="11" t="n">
        <v>11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38187</t>
        </is>
      </c>
      <c r="C264" s="8" t="inlineStr">
        <is>
          <t>Nuevo Leon DT</t>
        </is>
      </c>
      <c r="D264" s="8" t="inlineStr">
        <is>
          <t>Alberto Torrado Aguilar Cauz</t>
        </is>
      </c>
      <c r="E264" s="7" t="n">
        <v>0</v>
      </c>
      <c r="F264" s="7" t="n">
        <v>11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38620</t>
        </is>
      </c>
      <c r="C265" s="12" t="inlineStr">
        <is>
          <t>Oasis I</t>
        </is>
      </c>
      <c r="D265" s="12" t="inlineStr">
        <is>
          <t>Jaqueline Cortes Ayala</t>
        </is>
      </c>
      <c r="E265" s="11" t="n">
        <v>0</v>
      </c>
      <c r="F265" s="11" t="n">
        <v>11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38585</t>
        </is>
      </c>
      <c r="C266" s="8" t="inlineStr">
        <is>
          <t>Oasis II</t>
        </is>
      </c>
      <c r="D266" s="8" t="inlineStr">
        <is>
          <t>Jaqueline Cortes Ayala</t>
        </is>
      </c>
      <c r="E266" s="7" t="n">
        <v>0</v>
      </c>
      <c r="F266" s="7" t="n">
        <v>11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38220</t>
        </is>
      </c>
      <c r="C267" s="12" t="inlineStr">
        <is>
          <t>Obelisco</t>
        </is>
      </c>
      <c r="D267" s="12" t="inlineStr">
        <is>
          <t>Alberto Torrado Aguilar Cauz</t>
        </is>
      </c>
      <c r="E267" s="11" t="n">
        <v>0</v>
      </c>
      <c r="F267" s="11" t="n">
        <v>11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38602</t>
        </is>
      </c>
      <c r="C268" s="8" t="inlineStr">
        <is>
          <t>Obrero Mundial</t>
        </is>
      </c>
      <c r="D268" s="8" t="inlineStr">
        <is>
          <t>Nora Caracas Saldaña</t>
        </is>
      </c>
      <c r="E268" s="7" t="n">
        <v>0</v>
      </c>
      <c r="F268" s="7" t="n">
        <v>11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38494</t>
        </is>
      </c>
      <c r="C269" s="12" t="inlineStr">
        <is>
          <t>Pabellon Cuemanco</t>
        </is>
      </c>
      <c r="D269" s="12" t="inlineStr">
        <is>
          <t>Fernando Eduardo Verdugo Saldaña</t>
        </is>
      </c>
      <c r="E269" s="11" t="n">
        <v>0</v>
      </c>
      <c r="F269" s="11" t="n">
        <v>11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43195</t>
        </is>
      </c>
      <c r="C270" s="8" t="inlineStr">
        <is>
          <t>Parque Jadin kiosko</t>
        </is>
      </c>
      <c r="D270" s="8" t="inlineStr">
        <is>
          <t>Vanessa Carreño Rios</t>
        </is>
      </c>
      <c r="E270" s="7" t="n">
        <v>0</v>
      </c>
      <c r="F270" s="7" t="n">
        <v>10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38581</t>
        </is>
      </c>
      <c r="C271" s="12" t="inlineStr">
        <is>
          <t>Parques BBVA</t>
        </is>
      </c>
      <c r="D271" s="12" t="inlineStr">
        <is>
          <t>Luis Manuel Neri Saldaña</t>
        </is>
      </c>
      <c r="E271" s="11" t="n">
        <v>0</v>
      </c>
      <c r="F271" s="11" t="n">
        <v>11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38344</t>
        </is>
      </c>
      <c r="C272" s="8" t="inlineStr">
        <is>
          <t>Parques Polanco</t>
        </is>
      </c>
      <c r="D272" s="8" t="inlineStr">
        <is>
          <t>Maria Anallely Sanchez Garcia</t>
        </is>
      </c>
      <c r="E272" s="7" t="n">
        <v>0</v>
      </c>
      <c r="F272" s="7" t="n">
        <v>11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38580</t>
        </is>
      </c>
      <c r="C273" s="12" t="inlineStr">
        <is>
          <t>Pasaje San Jeronimo</t>
        </is>
      </c>
      <c r="D273" s="12" t="inlineStr">
        <is>
          <t>Cesar Alfonso Castillo Romero</t>
        </is>
      </c>
      <c r="E273" s="11" t="n">
        <v>0</v>
      </c>
      <c r="F273" s="11" t="n">
        <v>11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38718</t>
        </is>
      </c>
      <c r="C274" s="8" t="inlineStr">
        <is>
          <t>Paseo Ventura</t>
        </is>
      </c>
      <c r="D274" s="8" t="inlineStr">
        <is>
          <t>Monica Selene Morales Ibarra</t>
        </is>
      </c>
      <c r="E274" s="7" t="n">
        <v>0</v>
      </c>
      <c r="F274" s="7" t="n">
        <v>11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38762</t>
        </is>
      </c>
      <c r="C275" s="12" t="inlineStr">
        <is>
          <t>Patio Boturini</t>
        </is>
      </c>
      <c r="D275" s="12" t="inlineStr">
        <is>
          <t>Vacante</t>
        </is>
      </c>
      <c r="E275" s="11" t="n">
        <v>0</v>
      </c>
      <c r="F275" s="11" t="n">
        <v>11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38657</t>
        </is>
      </c>
      <c r="C276" s="8" t="inlineStr">
        <is>
          <t>Patio Lomas Estrella</t>
        </is>
      </c>
      <c r="D276" s="8" t="inlineStr">
        <is>
          <t>Jesus Antonio Elguera Flores</t>
        </is>
      </c>
      <c r="E276" s="7" t="n">
        <v>0</v>
      </c>
      <c r="F276" s="7" t="n">
        <v>11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38691</t>
        </is>
      </c>
      <c r="C277" s="12" t="inlineStr">
        <is>
          <t>Patio Revolución</t>
        </is>
      </c>
      <c r="D277" s="12" t="inlineStr">
        <is>
          <t>Cesar Alfonso Castillo Romero</t>
        </is>
      </c>
      <c r="E277" s="11" t="n">
        <v>0</v>
      </c>
      <c r="F277" s="11" t="n">
        <v>11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38806</t>
        </is>
      </c>
      <c r="C278" s="8" t="inlineStr">
        <is>
          <t>Patio Tlalpan</t>
        </is>
      </c>
      <c r="D278" s="8" t="inlineStr">
        <is>
          <t>Hazar Susim Trejo Hernandez</t>
        </is>
      </c>
      <c r="E278" s="7" t="n">
        <v>0</v>
      </c>
      <c r="F278" s="7" t="n">
        <v>11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38501</t>
        </is>
      </c>
      <c r="C279" s="12" t="inlineStr">
        <is>
          <t>Patio Universidad</t>
        </is>
      </c>
      <c r="D279" s="12" t="inlineStr">
        <is>
          <t>Luis Alberto Quevedo Rodriguez</t>
        </is>
      </c>
      <c r="E279" s="11" t="n">
        <v>0</v>
      </c>
      <c r="F279" s="11" t="n">
        <v>11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38107</t>
        </is>
      </c>
      <c r="C280" s="8" t="inlineStr">
        <is>
          <t>Pedregal</t>
        </is>
      </c>
      <c r="D280" s="8" t="inlineStr">
        <is>
          <t>Cesar Alfonso Castillo Romero</t>
        </is>
      </c>
      <c r="E280" s="7" t="n">
        <v>0</v>
      </c>
      <c r="F280" s="7" t="n">
        <v>11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38402</t>
        </is>
      </c>
      <c r="C281" s="12" t="inlineStr">
        <is>
          <t>PeriSur</t>
        </is>
      </c>
      <c r="D281" s="12" t="inlineStr">
        <is>
          <t>Hazar Susim Trejo Hernandez</t>
        </is>
      </c>
      <c r="E281" s="11" t="n">
        <v>0</v>
      </c>
      <c r="F281" s="11" t="n">
        <v>11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43045</t>
        </is>
      </c>
      <c r="C282" s="8" t="inlineStr">
        <is>
          <t>Periferico Polanco DT</t>
        </is>
      </c>
      <c r="D282" s="8" t="inlineStr">
        <is>
          <t>Luis Manuel Neri Saldaña</t>
        </is>
      </c>
      <c r="E282" s="7" t="n">
        <v>0</v>
      </c>
      <c r="F282" s="7" t="n">
        <v>11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38866</t>
        </is>
      </c>
      <c r="C283" s="12" t="inlineStr">
        <is>
          <t>Perisur Reserve</t>
        </is>
      </c>
      <c r="D283" s="12" t="inlineStr">
        <is>
          <t>Hazar Susim Trejo Hernandez</t>
        </is>
      </c>
      <c r="E283" s="11" t="n">
        <v>0</v>
      </c>
      <c r="F283" s="11" t="n">
        <v>11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38482</t>
        </is>
      </c>
      <c r="C284" s="8" t="inlineStr">
        <is>
          <t>Pestalozzi</t>
        </is>
      </c>
      <c r="D284" s="8" t="inlineStr">
        <is>
          <t>Luis Alberto Quevedo Rodriguez</t>
        </is>
      </c>
      <c r="E284" s="7" t="n">
        <v>0</v>
      </c>
      <c r="F284" s="7" t="n">
        <v>11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38544</t>
        </is>
      </c>
      <c r="C285" s="12" t="inlineStr">
        <is>
          <t>Picacho Ajusco</t>
        </is>
      </c>
      <c r="D285" s="12" t="inlineStr">
        <is>
          <t>Cesar Alfonso Castillo Romero</t>
        </is>
      </c>
      <c r="E285" s="11" t="n">
        <v>0</v>
      </c>
      <c r="F285" s="11" t="n">
        <v>11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38134</t>
        </is>
      </c>
      <c r="C286" s="8" t="inlineStr">
        <is>
          <t>Pilares</t>
        </is>
      </c>
      <c r="D286" s="8" t="inlineStr">
        <is>
          <t>Luis Alberto Quevedo Rodriguez</t>
        </is>
      </c>
      <c r="E286" s="7" t="n">
        <v>0</v>
      </c>
      <c r="F286" s="7" t="n">
        <v>11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38123</t>
        </is>
      </c>
      <c r="C287" s="12" t="inlineStr">
        <is>
          <t>Plaza Alameda</t>
        </is>
      </c>
      <c r="D287" s="12" t="inlineStr">
        <is>
          <t>Vacante</t>
        </is>
      </c>
      <c r="E287" s="11" t="n">
        <v>0</v>
      </c>
      <c r="F287" s="11" t="n">
        <v>11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38472</t>
        </is>
      </c>
      <c r="C288" s="8" t="inlineStr">
        <is>
          <t>Plaza America DT</t>
        </is>
      </c>
      <c r="D288" s="8" t="inlineStr">
        <is>
          <t>Fernando Eduardo Verdugo Saldaña</t>
        </is>
      </c>
      <c r="E288" s="7" t="n">
        <v>0</v>
      </c>
      <c r="F288" s="7" t="n">
        <v>11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38429</t>
        </is>
      </c>
      <c r="C289" s="12" t="inlineStr">
        <is>
          <t>Plaza Aragon</t>
        </is>
      </c>
      <c r="D289" s="12" t="inlineStr">
        <is>
          <t>Monica Selene Morales Ibarra</t>
        </is>
      </c>
      <c r="E289" s="11" t="n">
        <v>0</v>
      </c>
      <c r="F289" s="11" t="n">
        <v>11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38611</t>
        </is>
      </c>
      <c r="C290" s="8" t="inlineStr">
        <is>
          <t>Plaza Basica</t>
        </is>
      </c>
      <c r="D290" s="8" t="inlineStr">
        <is>
          <t>Ariana Janet Gutierrez Martinez</t>
        </is>
      </c>
      <c r="E290" s="7" t="n">
        <v>0</v>
      </c>
      <c r="F290" s="7" t="n">
        <v>11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38645</t>
        </is>
      </c>
      <c r="C291" s="12" t="inlineStr">
        <is>
          <t>Plaza Central</t>
        </is>
      </c>
      <c r="D291" s="12" t="inlineStr">
        <is>
          <t>Ariana Janet Gutierrez Martinez</t>
        </is>
      </c>
      <c r="E291" s="11" t="n">
        <v>0</v>
      </c>
      <c r="F291" s="11" t="n">
        <v>11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38684</t>
        </is>
      </c>
      <c r="C292" s="8" t="inlineStr">
        <is>
          <t>Plaza Chimalhuacan</t>
        </is>
      </c>
      <c r="D292" s="8" t="inlineStr">
        <is>
          <t>Monica Selene Morales Ibarra</t>
        </is>
      </c>
      <c r="E292" s="7" t="n">
        <v>0</v>
      </c>
      <c r="F292" s="7" t="n">
        <v>11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38605</t>
        </is>
      </c>
      <c r="C293" s="12" t="inlineStr">
        <is>
          <t>Plaza Cuicuilco</t>
        </is>
      </c>
      <c r="D293" s="12" t="inlineStr">
        <is>
          <t>Hazar Susim Trejo Hernandez</t>
        </is>
      </c>
      <c r="E293" s="11" t="n">
        <v>0</v>
      </c>
      <c r="F293" s="11" t="n">
        <v>11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38173</t>
        </is>
      </c>
      <c r="C294" s="8" t="inlineStr">
        <is>
          <t>Plaza Delta Planta Alta</t>
        </is>
      </c>
      <c r="D294" s="8" t="inlineStr">
        <is>
          <t>Nora Caracas Saldaña</t>
        </is>
      </c>
      <c r="E294" s="7" t="n">
        <v>0</v>
      </c>
      <c r="F294" s="7" t="n">
        <v>11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38658</t>
        </is>
      </c>
      <c r="C295" s="12" t="inlineStr">
        <is>
          <t>Plaza Delta Planta Baja</t>
        </is>
      </c>
      <c r="D295" s="12" t="inlineStr">
        <is>
          <t>Nora Caracas Saldaña</t>
        </is>
      </c>
      <c r="E295" s="11" t="n">
        <v>0</v>
      </c>
      <c r="F295" s="11" t="n">
        <v>11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43026</t>
        </is>
      </c>
      <c r="C296" s="8" t="inlineStr">
        <is>
          <t>Plaza Ermita</t>
        </is>
      </c>
      <c r="D296" s="8" t="inlineStr">
        <is>
          <t>Jesus Antonio Elguera Flores</t>
        </is>
      </c>
      <c r="E296" s="7" t="n">
        <v>0</v>
      </c>
      <c r="F296" s="7" t="n">
        <v>11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38139</t>
        </is>
      </c>
      <c r="C297" s="12" t="inlineStr">
        <is>
          <t>Plaza Inn</t>
        </is>
      </c>
      <c r="D297" s="12" t="inlineStr">
        <is>
          <t>Jaqueline Cortes Ayala</t>
        </is>
      </c>
      <c r="E297" s="11" t="n">
        <v>0</v>
      </c>
      <c r="F297" s="11" t="n">
        <v>11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38432</t>
        </is>
      </c>
      <c r="C298" s="8" t="inlineStr">
        <is>
          <t>Plaza Luis Cabrera</t>
        </is>
      </c>
      <c r="D298" s="8" t="inlineStr">
        <is>
          <t>Nora Caracas Saldaña</t>
        </is>
      </c>
      <c r="E298" s="7" t="n">
        <v>0</v>
      </c>
      <c r="F298" s="7" t="n">
        <v>11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38418</t>
        </is>
      </c>
      <c r="C299" s="12" t="inlineStr">
        <is>
          <t>Plaza Oriente l</t>
        </is>
      </c>
      <c r="D299" s="12" t="inlineStr">
        <is>
          <t>Ariana Janet Gutierrez Martinez</t>
        </is>
      </c>
      <c r="E299" s="11" t="n">
        <v>0</v>
      </c>
      <c r="F299" s="11" t="n">
        <v>11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38725</t>
        </is>
      </c>
      <c r="C300" s="8" t="inlineStr">
        <is>
          <t>Plaza Oriente ll</t>
        </is>
      </c>
      <c r="D300" s="8" t="inlineStr">
        <is>
          <t>Ariana Janet Gutierrez Martinez</t>
        </is>
      </c>
      <c r="E300" s="7" t="n">
        <v>0</v>
      </c>
      <c r="F300" s="7" t="n">
        <v>11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38129</t>
        </is>
      </c>
      <c r="C301" s="12" t="inlineStr">
        <is>
          <t>Plaza Santa Teresa</t>
        </is>
      </c>
      <c r="D301" s="12" t="inlineStr">
        <is>
          <t>Cesar Alfonso Castillo Romero</t>
        </is>
      </c>
      <c r="E301" s="11" t="n">
        <v>0</v>
      </c>
      <c r="F301" s="11" t="n">
        <v>11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43169</t>
        </is>
      </c>
      <c r="C302" s="8" t="inlineStr">
        <is>
          <t>Plaza Tepozán</t>
        </is>
      </c>
      <c r="D302" s="8" t="inlineStr">
        <is>
          <t>Jesus Antonio Elguera Flores</t>
        </is>
      </c>
      <c r="E302" s="7" t="n">
        <v>0</v>
      </c>
      <c r="F302" s="7" t="n">
        <v>11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43123</t>
        </is>
      </c>
      <c r="C303" s="12" t="inlineStr">
        <is>
          <t>Plaza Tlatelolco</t>
        </is>
      </c>
      <c r="D303" s="12" t="inlineStr">
        <is>
          <t>Vacante</t>
        </is>
      </c>
      <c r="E303" s="11" t="n">
        <v>0</v>
      </c>
      <c r="F303" s="11" t="n">
        <v>11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38569</t>
        </is>
      </c>
      <c r="C304" s="8" t="inlineStr">
        <is>
          <t>Plaza Universidad</t>
        </is>
      </c>
      <c r="D304" s="8" t="inlineStr">
        <is>
          <t>Luis Alberto Quevedo Rodriguez</t>
        </is>
      </c>
      <c r="E304" s="7" t="n">
        <v>0</v>
      </c>
      <c r="F304" s="7" t="n">
        <v>11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38855</t>
        </is>
      </c>
      <c r="C305" s="12" t="inlineStr">
        <is>
          <t>Plaza Zapotitlán DT</t>
        </is>
      </c>
      <c r="D305" s="12" t="inlineStr">
        <is>
          <t>Jesus Antonio Elguera Flores</t>
        </is>
      </c>
      <c r="E305" s="11" t="n">
        <v>0</v>
      </c>
      <c r="F305" s="11" t="n">
        <v>11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38360</t>
        </is>
      </c>
      <c r="C306" s="8" t="inlineStr">
        <is>
          <t>Plaza la Hacienda</t>
        </is>
      </c>
      <c r="D306" s="8" t="inlineStr">
        <is>
          <t>Fernando Eduardo Verdugo Saldaña</t>
        </is>
      </c>
      <c r="E306" s="7" t="n">
        <v>0</v>
      </c>
      <c r="F306" s="7" t="n">
        <v>11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38468</t>
        </is>
      </c>
      <c r="C307" s="12" t="inlineStr">
        <is>
          <t>Portal Churubusco</t>
        </is>
      </c>
      <c r="D307" s="12" t="inlineStr">
        <is>
          <t>Ariana Janet Gutierrez Martinez</t>
        </is>
      </c>
      <c r="E307" s="11" t="n">
        <v>0</v>
      </c>
      <c r="F307" s="11" t="n">
        <v>11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38678</t>
        </is>
      </c>
      <c r="C308" s="8" t="inlineStr">
        <is>
          <t>Power Center las Americas</t>
        </is>
      </c>
      <c r="D308" s="8" t="inlineStr">
        <is>
          <t>Monica Selene Morales Ibarra</t>
        </is>
      </c>
      <c r="E308" s="7" t="n">
        <v>0</v>
      </c>
      <c r="F308" s="7" t="n">
        <v>11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38430</t>
        </is>
      </c>
      <c r="C309" s="12" t="inlineStr">
        <is>
          <t>Prisma Insurgentes</t>
        </is>
      </c>
      <c r="D309" s="12" t="inlineStr">
        <is>
          <t>Jaqueline Cortes Ayala</t>
        </is>
      </c>
      <c r="E309" s="11" t="n">
        <v>0</v>
      </c>
      <c r="F309" s="11" t="n">
        <v>11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43183</t>
        </is>
      </c>
      <c r="C310" s="8" t="inlineStr">
        <is>
          <t>Puerta Texcoco</t>
        </is>
      </c>
      <c r="D310" s="8" t="inlineStr">
        <is>
          <t>Monica Selene Morales Ibarra</t>
        </is>
      </c>
      <c r="E310" s="7" t="n">
        <v>0</v>
      </c>
      <c r="F310" s="7" t="n">
        <v>11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43025</t>
        </is>
      </c>
      <c r="C311" s="12" t="inlineStr">
        <is>
          <t>Punto MAQ</t>
        </is>
      </c>
      <c r="D311" s="12" t="inlineStr">
        <is>
          <t>Jaqueline Cortes Ayala</t>
        </is>
      </c>
      <c r="E311" s="11" t="n">
        <v>0</v>
      </c>
      <c r="F311" s="11" t="n">
        <v>11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38635</t>
        </is>
      </c>
      <c r="C312" s="8" t="inlineStr">
        <is>
          <t>Punto Polanco</t>
        </is>
      </c>
      <c r="D312" s="8" t="inlineStr">
        <is>
          <t>Maria Anallely Sanchez Garcia</t>
        </is>
      </c>
      <c r="E312" s="7" t="n">
        <v>0</v>
      </c>
      <c r="F312" s="7" t="n">
        <v>11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38654</t>
        </is>
      </c>
      <c r="C313" s="12" t="inlineStr">
        <is>
          <t>Reforma 180</t>
        </is>
      </c>
      <c r="D313" s="12" t="inlineStr">
        <is>
          <t>Guadalupe Ibarra Martínez</t>
        </is>
      </c>
      <c r="E313" s="11" t="n">
        <v>0</v>
      </c>
      <c r="F313" s="11" t="n">
        <v>11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38285</t>
        </is>
      </c>
      <c r="C314" s="8" t="inlineStr">
        <is>
          <t>Reforma 222</t>
        </is>
      </c>
      <c r="D314" s="8" t="inlineStr">
        <is>
          <t>Guadalupe Ibarra Martínez</t>
        </is>
      </c>
      <c r="E314" s="7" t="n">
        <v>0</v>
      </c>
      <c r="F314" s="7" t="n">
        <v>11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38291</t>
        </is>
      </c>
      <c r="C315" s="12" t="inlineStr">
        <is>
          <t>Reforma 222 II</t>
        </is>
      </c>
      <c r="D315" s="12" t="inlineStr">
        <is>
          <t>Guadalupe Ibarra Martínez</t>
        </is>
      </c>
      <c r="E315" s="11" t="n">
        <v>0</v>
      </c>
      <c r="F315" s="11" t="n">
        <v>11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38560</t>
        </is>
      </c>
      <c r="C316" s="8" t="inlineStr">
        <is>
          <t>Renato Leduc</t>
        </is>
      </c>
      <c r="D316" s="8" t="inlineStr">
        <is>
          <t>Hazar Susim Trejo Hernandez</t>
        </is>
      </c>
      <c r="E316" s="7" t="n">
        <v>0</v>
      </c>
      <c r="F316" s="7" t="n">
        <v>11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38522</t>
        </is>
      </c>
      <c r="C317" s="12" t="inlineStr">
        <is>
          <t>Rio Hudson</t>
        </is>
      </c>
      <c r="D317" s="12" t="inlineStr">
        <is>
          <t>Alberto Torrado Aguilar Cauz</t>
        </is>
      </c>
      <c r="E317" s="11" t="n">
        <v>0</v>
      </c>
      <c r="F317" s="11" t="n">
        <v>11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38389</t>
        </is>
      </c>
      <c r="C318" s="8" t="inlineStr">
        <is>
          <t>Rio Marne</t>
        </is>
      </c>
      <c r="D318" s="8" t="inlineStr">
        <is>
          <t>Guadalupe Ibarra Martínez</t>
        </is>
      </c>
      <c r="E318" s="7" t="n">
        <v>0</v>
      </c>
      <c r="F318" s="7" t="n">
        <v>11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38557</t>
        </is>
      </c>
      <c r="C319" s="12" t="inlineStr">
        <is>
          <t>Rio San Joaquin</t>
        </is>
      </c>
      <c r="D319" s="12" t="inlineStr">
        <is>
          <t>Luis Manuel Neri Saldaña</t>
        </is>
      </c>
      <c r="E319" s="11" t="n">
        <v>0</v>
      </c>
      <c r="F319" s="11" t="n">
        <v>11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43070</t>
        </is>
      </c>
      <c r="C320" s="8" t="inlineStr">
        <is>
          <t>Rojo Gomez DT</t>
        </is>
      </c>
      <c r="D320" s="8" t="inlineStr">
        <is>
          <t>Ariana Janet Gutierrez Martinez</t>
        </is>
      </c>
      <c r="E320" s="7" t="n">
        <v>0</v>
      </c>
      <c r="F320" s="7" t="n">
        <v>11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38558</t>
        </is>
      </c>
      <c r="C321" s="12" t="inlineStr">
        <is>
          <t>Roma Sur</t>
        </is>
      </c>
      <c r="D321" s="12" t="inlineStr">
        <is>
          <t>Nora Caracas Saldaña</t>
        </is>
      </c>
      <c r="E321" s="11" t="n">
        <v>0</v>
      </c>
      <c r="F321" s="11" t="n">
        <v>11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38653</t>
        </is>
      </c>
      <c r="C322" s="8" t="inlineStr">
        <is>
          <t>Salon Ejecutivo T1 AICM</t>
        </is>
      </c>
      <c r="D322" s="8" t="inlineStr">
        <is>
          <t>Maria Anallely Sanchez Garcia</t>
        </is>
      </c>
      <c r="E322" s="7" t="n">
        <v>0</v>
      </c>
      <c r="F322" s="7" t="n">
        <v>11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38124</t>
        </is>
      </c>
      <c r="C323" s="12" t="inlineStr">
        <is>
          <t>San Jeronimo</t>
        </is>
      </c>
      <c r="D323" s="12" t="inlineStr">
        <is>
          <t>Cesar Alfonso Castillo Romero</t>
        </is>
      </c>
      <c r="E323" s="11" t="n">
        <v>0</v>
      </c>
      <c r="F323" s="11" t="n">
        <v>11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38417</t>
        </is>
      </c>
      <c r="C324" s="8" t="inlineStr">
        <is>
          <t>San Jose Insurgentes</t>
        </is>
      </c>
      <c r="D324" s="8" t="inlineStr">
        <is>
          <t>Jaqueline Cortes Ayala</t>
        </is>
      </c>
      <c r="E324" s="7" t="n">
        <v>0</v>
      </c>
      <c r="F324" s="7" t="n">
        <v>11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38513</t>
        </is>
      </c>
      <c r="C325" s="12" t="inlineStr">
        <is>
          <t>San Lorenzo</t>
        </is>
      </c>
      <c r="D325" s="12" t="inlineStr">
        <is>
          <t>Luis Alberto Quevedo Rodriguez</t>
        </is>
      </c>
      <c r="E325" s="11" t="n">
        <v>0</v>
      </c>
      <c r="F325" s="11" t="n">
        <v>11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38502</t>
        </is>
      </c>
      <c r="C326" s="8" t="inlineStr">
        <is>
          <t>San Marcos DT</t>
        </is>
      </c>
      <c r="D326" s="8" t="inlineStr">
        <is>
          <t>Jesus Antonio Elguera Flores</t>
        </is>
      </c>
      <c r="E326" s="7" t="n">
        <v>0</v>
      </c>
      <c r="F326" s="7" t="n">
        <v>11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38116</t>
        </is>
      </c>
      <c r="C327" s="12" t="inlineStr">
        <is>
          <t>Santa Teresa</t>
        </is>
      </c>
      <c r="D327" s="12" t="inlineStr">
        <is>
          <t>Cesar Alfonso Castillo Romero</t>
        </is>
      </c>
      <c r="E327" s="11" t="n">
        <v>0</v>
      </c>
      <c r="F327" s="11" t="n">
        <v>11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38659</t>
        </is>
      </c>
      <c r="C328" s="8" t="inlineStr">
        <is>
          <t>Sendero Ixtapaluca</t>
        </is>
      </c>
      <c r="D328" s="8" t="inlineStr">
        <is>
          <t>Jesus Antonio Elguera Flores</t>
        </is>
      </c>
      <c r="E328" s="7" t="n">
        <v>0</v>
      </c>
      <c r="F328" s="7" t="n">
        <v>11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38764</t>
        </is>
      </c>
      <c r="C329" s="12" t="inlineStr">
        <is>
          <t>Star Medica Napoles</t>
        </is>
      </c>
      <c r="D329" s="12" t="inlineStr">
        <is>
          <t>Juan Jesus Zuñiga Flores</t>
        </is>
      </c>
      <c r="E329" s="11" t="n">
        <v>0</v>
      </c>
      <c r="F329" s="11" t="n">
        <v>11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38752</t>
        </is>
      </c>
      <c r="C330" s="8" t="inlineStr">
        <is>
          <t>Star Medica Roma</t>
        </is>
      </c>
      <c r="D330" s="8" t="inlineStr">
        <is>
          <t>Nora Caracas Saldaña</t>
        </is>
      </c>
      <c r="E330" s="7" t="n">
        <v>0</v>
      </c>
      <c r="F330" s="7" t="n">
        <v>11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38299</t>
        </is>
      </c>
      <c r="C331" s="12" t="inlineStr">
        <is>
          <t>T2 Llegadas</t>
        </is>
      </c>
      <c r="D331" s="12" t="inlineStr">
        <is>
          <t>Maria Anallely Sanchez Garcia</t>
        </is>
      </c>
      <c r="E331" s="11" t="n">
        <v>0</v>
      </c>
      <c r="F331" s="11" t="n">
        <v>11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38297</t>
        </is>
      </c>
      <c r="C332" s="8" t="inlineStr">
        <is>
          <t>T2 Salida Internacional</t>
        </is>
      </c>
      <c r="D332" s="8" t="inlineStr">
        <is>
          <t>Maria Anallely Sanchez Garcia</t>
        </is>
      </c>
      <c r="E332" s="7" t="n">
        <v>0</v>
      </c>
      <c r="F332" s="7" t="n">
        <v>11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38298</t>
        </is>
      </c>
      <c r="C333" s="12" t="inlineStr">
        <is>
          <t>T2 Salida Nacional</t>
        </is>
      </c>
      <c r="D333" s="12" t="inlineStr">
        <is>
          <t>Maria Anallely Sanchez Garcia</t>
        </is>
      </c>
      <c r="E333" s="11" t="n">
        <v>0</v>
      </c>
      <c r="F333" s="11" t="n">
        <v>11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38817</t>
        </is>
      </c>
      <c r="C334" s="8" t="inlineStr">
        <is>
          <t>Tec de Monterrey CCM</t>
        </is>
      </c>
      <c r="D334" s="8" t="inlineStr">
        <is>
          <t>Fernando Eduardo Verdugo Saldaña</t>
        </is>
      </c>
      <c r="E334" s="7" t="n">
        <v>0</v>
      </c>
      <c r="F334" s="7" t="n">
        <v>11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38131</t>
        </is>
      </c>
      <c r="C335" s="12" t="inlineStr">
        <is>
          <t>Tepepan</t>
        </is>
      </c>
      <c r="D335" s="12" t="inlineStr">
        <is>
          <t>Hazar Susim Trejo Hernandez</t>
        </is>
      </c>
      <c r="E335" s="11" t="n">
        <v>0</v>
      </c>
      <c r="F335" s="11" t="n">
        <v>11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38943</t>
        </is>
      </c>
      <c r="C336" s="8" t="inlineStr">
        <is>
          <t>Terraza T2 Amb</t>
        </is>
      </c>
      <c r="D336" s="8" t="inlineStr">
        <is>
          <t>Maria Anallely Sanchez Garcia</t>
        </is>
      </c>
      <c r="E336" s="7" t="n">
        <v>0</v>
      </c>
      <c r="F336" s="7" t="n">
        <v>11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38289</t>
        </is>
      </c>
      <c r="C337" s="12" t="inlineStr">
        <is>
          <t>Tezontle l</t>
        </is>
      </c>
      <c r="D337" s="12" t="inlineStr">
        <is>
          <t>Ariana Janet Gutierrez Martinez</t>
        </is>
      </c>
      <c r="E337" s="11" t="n">
        <v>0</v>
      </c>
      <c r="F337" s="11" t="n">
        <v>11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38279</t>
        </is>
      </c>
      <c r="C338" s="8" t="inlineStr">
        <is>
          <t>Tezontle ll</t>
        </is>
      </c>
      <c r="D338" s="8" t="inlineStr">
        <is>
          <t>Ariana Janet Gutierrez Martinez</t>
        </is>
      </c>
      <c r="E338" s="7" t="n">
        <v>0</v>
      </c>
      <c r="F338" s="7" t="n">
        <v>11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38625</t>
        </is>
      </c>
      <c r="C339" s="12" t="inlineStr">
        <is>
          <t>Tezoquipa</t>
        </is>
      </c>
      <c r="D339" s="12" t="inlineStr">
        <is>
          <t>Hazar Susim Trejo Hernandez</t>
        </is>
      </c>
      <c r="E339" s="11" t="n">
        <v>0</v>
      </c>
      <c r="F339" s="11" t="n">
        <v>11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38260</t>
        </is>
      </c>
      <c r="C340" s="8" t="inlineStr">
        <is>
          <t>Tlacoquemecatl</t>
        </is>
      </c>
      <c r="D340" s="8" t="inlineStr">
        <is>
          <t>Luis Alberto Quevedo Rodriguez</t>
        </is>
      </c>
      <c r="E340" s="7" t="n">
        <v>0</v>
      </c>
      <c r="F340" s="7" t="n">
        <v>11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38543</t>
        </is>
      </c>
      <c r="C341" s="12" t="inlineStr">
        <is>
          <t>Tlalpan Hospitales</t>
        </is>
      </c>
      <c r="D341" s="12" t="inlineStr">
        <is>
          <t>Hazar Susim Trejo Hernandez</t>
        </is>
      </c>
      <c r="E341" s="11" t="n">
        <v>0</v>
      </c>
      <c r="F341" s="11" t="n">
        <v>11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38637</t>
        </is>
      </c>
      <c r="C342" s="8" t="inlineStr">
        <is>
          <t>Tlalpan Nativitas</t>
        </is>
      </c>
      <c r="D342" s="8" t="inlineStr">
        <is>
          <t>Fernando Eduardo Verdugo Saldaña</t>
        </is>
      </c>
      <c r="E342" s="7" t="n">
        <v>0</v>
      </c>
      <c r="F342" s="7" t="n">
        <v>11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38600</t>
        </is>
      </c>
      <c r="C343" s="12" t="inlineStr">
        <is>
          <t>Torre BBVA</t>
        </is>
      </c>
      <c r="D343" s="12" t="inlineStr">
        <is>
          <t>Luis Manuel Neri Saldaña</t>
        </is>
      </c>
      <c r="E343" s="11" t="n">
        <v>0</v>
      </c>
      <c r="F343" s="11" t="n">
        <v>11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38376</t>
        </is>
      </c>
      <c r="C344" s="8" t="inlineStr">
        <is>
          <t>Torre Caballito</t>
        </is>
      </c>
      <c r="D344" s="8" t="inlineStr">
        <is>
          <t>Vacante</t>
        </is>
      </c>
      <c r="E344" s="7" t="n">
        <v>0</v>
      </c>
      <c r="F344" s="7" t="n">
        <v>11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38681</t>
        </is>
      </c>
      <c r="C345" s="12" t="inlineStr">
        <is>
          <t>Torre Diana</t>
        </is>
      </c>
      <c r="D345" s="12" t="inlineStr">
        <is>
          <t>Guadalupe Ibarra Martínez</t>
        </is>
      </c>
      <c r="E345" s="11" t="n">
        <v>0</v>
      </c>
      <c r="F345" s="11" t="n">
        <v>11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38349</t>
        </is>
      </c>
      <c r="C346" s="8" t="inlineStr">
        <is>
          <t>Torre Inverlat</t>
        </is>
      </c>
      <c r="D346" s="8" t="inlineStr">
        <is>
          <t>Luis Manuel Neri Saldaña</t>
        </is>
      </c>
      <c r="E346" s="7" t="n">
        <v>0</v>
      </c>
      <c r="F346" s="7" t="n">
        <v>11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38110</t>
        </is>
      </c>
      <c r="C347" s="12" t="inlineStr">
        <is>
          <t>Torre Mayor</t>
        </is>
      </c>
      <c r="D347" s="12" t="inlineStr">
        <is>
          <t>Alberto Torrado Aguilar Cauz</t>
        </is>
      </c>
      <c r="E347" s="11" t="n">
        <v>0</v>
      </c>
      <c r="F347" s="11" t="n">
        <v>11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38378</t>
        </is>
      </c>
      <c r="C348" s="8" t="inlineStr">
        <is>
          <t>Torre Mexicana</t>
        </is>
      </c>
      <c r="D348" s="8" t="inlineStr">
        <is>
          <t>Nora Caracas Saldaña</t>
        </is>
      </c>
      <c r="E348" s="7" t="n">
        <v>0</v>
      </c>
      <c r="F348" s="7" t="n">
        <v>11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38541</t>
        </is>
      </c>
      <c r="C349" s="12" t="inlineStr">
        <is>
          <t>Torre Polanco</t>
        </is>
      </c>
      <c r="D349" s="12" t="inlineStr">
        <is>
          <t>Alberto Torrado Aguilar Cauz</t>
        </is>
      </c>
      <c r="E349" s="11" t="n">
        <v>0</v>
      </c>
      <c r="F349" s="11" t="n">
        <v>11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38423</t>
        </is>
      </c>
      <c r="C350" s="8" t="inlineStr">
        <is>
          <t>Torre Wtc</t>
        </is>
      </c>
      <c r="D350" s="8" t="inlineStr">
        <is>
          <t>Nora Caracas Saldaña</t>
        </is>
      </c>
      <c r="E350" s="7" t="n">
        <v>0</v>
      </c>
      <c r="F350" s="7" t="n">
        <v>11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38858</t>
        </is>
      </c>
      <c r="C351" s="12" t="inlineStr">
        <is>
          <t>Torre de Pemex</t>
        </is>
      </c>
      <c r="D351" s="12" t="inlineStr">
        <is>
          <t>Maria Anallely Sanchez Garcia</t>
        </is>
      </c>
      <c r="E351" s="11" t="n">
        <v>0</v>
      </c>
      <c r="F351" s="11" t="n">
        <v>11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38556</t>
        </is>
      </c>
      <c r="C352" s="8" t="inlineStr">
        <is>
          <t>Tuxpan 53</t>
        </is>
      </c>
      <c r="D352" s="8" t="inlineStr">
        <is>
          <t>Nora Caracas Saldaña</t>
        </is>
      </c>
      <c r="E352" s="7" t="n">
        <v>0</v>
      </c>
      <c r="F352" s="7" t="n">
        <v>11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38570</t>
        </is>
      </c>
      <c r="C353" s="12" t="inlineStr">
        <is>
          <t>Universidad 767</t>
        </is>
      </c>
      <c r="D353" s="12" t="inlineStr">
        <is>
          <t>Luis Alberto Quevedo Rodriguez</t>
        </is>
      </c>
      <c r="E353" s="11" t="n">
        <v>0</v>
      </c>
      <c r="F353" s="11" t="n">
        <v>11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38463</t>
        </is>
      </c>
      <c r="C354" s="8" t="inlineStr">
        <is>
          <t>Uruguay</t>
        </is>
      </c>
      <c r="D354" s="8" t="inlineStr">
        <is>
          <t>Vacante</t>
        </is>
      </c>
      <c r="E354" s="7" t="n">
        <v>0</v>
      </c>
      <c r="F354" s="7" t="n">
        <v>11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38996</t>
        </is>
      </c>
      <c r="C355" s="12" t="inlineStr">
        <is>
          <t>Valle de Aragon</t>
        </is>
      </c>
      <c r="D355" s="12" t="inlineStr">
        <is>
          <t>Monica Selene Morales Ibarra</t>
        </is>
      </c>
      <c r="E355" s="11" t="n">
        <v>0</v>
      </c>
      <c r="F355" s="11" t="n">
        <v>11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38404</t>
        </is>
      </c>
      <c r="C356" s="8" t="inlineStr">
        <is>
          <t>Varsovia</t>
        </is>
      </c>
      <c r="D356" s="8" t="inlineStr">
        <is>
          <t>Guadalupe Ibarra Martínez</t>
        </is>
      </c>
      <c r="E356" s="7" t="n">
        <v>0</v>
      </c>
      <c r="F356" s="7" t="n">
        <v>11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38785</t>
        </is>
      </c>
      <c r="C357" s="12" t="inlineStr">
        <is>
          <t>Versalles</t>
        </is>
      </c>
      <c r="D357" s="12" t="inlineStr">
        <is>
          <t>Vacante</t>
        </is>
      </c>
      <c r="E357" s="11" t="n">
        <v>0</v>
      </c>
      <c r="F357" s="11" t="n">
        <v>11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38379</t>
        </is>
      </c>
      <c r="C358" s="8" t="inlineStr">
        <is>
          <t>Via Acoxpa</t>
        </is>
      </c>
      <c r="D358" s="8" t="inlineStr">
        <is>
          <t>Fernando Eduardo Verdugo Saldaña</t>
        </is>
      </c>
      <c r="E358" s="7" t="n">
        <v>0</v>
      </c>
      <c r="F358" s="7" t="n">
        <v>11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38226</t>
        </is>
      </c>
      <c r="C359" s="12" t="inlineStr">
        <is>
          <t>Via kiosko 515</t>
        </is>
      </c>
      <c r="D359" s="12" t="inlineStr">
        <is>
          <t>Ariana Janet Gutierrez Martinez</t>
        </is>
      </c>
      <c r="E359" s="11" t="n">
        <v>0</v>
      </c>
      <c r="F359" s="11" t="n">
        <v>11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38109</t>
        </is>
      </c>
      <c r="C360" s="8" t="inlineStr">
        <is>
          <t>Wtc</t>
        </is>
      </c>
      <c r="D360" s="8" t="inlineStr">
        <is>
          <t>Nora Caracas Saldaña</t>
        </is>
      </c>
      <c r="E360" s="7" t="n">
        <v>0</v>
      </c>
      <c r="F360" s="7" t="n">
        <v>11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38477</t>
        </is>
      </c>
      <c r="C361" s="12" t="inlineStr">
        <is>
          <t>Zentralia churubusco</t>
        </is>
      </c>
      <c r="D361" s="12" t="inlineStr">
        <is>
          <t>Ariana Janet Gutierrez Martinez</t>
        </is>
      </c>
      <c r="E361" s="11" t="n">
        <v>0</v>
      </c>
      <c r="F361" s="11" t="n">
        <v>11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</sheetData>
  <autoFilter ref="A4:I361"/>
  <mergeCells count="2">
    <mergeCell ref="A1:I2"/>
    <mergeCell ref="A3:I3"/>
  </mergeCells>
  <conditionalFormatting sqref="G5:G36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19/09/2026 15:31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1</v>
      </c>
      <c r="B5" s="12" t="inlineStr">
        <is>
          <t>Peanuts Charly&amp;Lucy</t>
        </is>
      </c>
      <c r="C5" s="11" t="n">
        <v>18</v>
      </c>
      <c r="D5" s="11" t="n">
        <v>339</v>
      </c>
      <c r="E5" s="13">
        <f>IFERROR(C5/(C5+D5),0)</f>
        <v/>
      </c>
      <c r="F5" s="12" t="inlineStr">
        <is>
          <t>20/09/26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2</v>
      </c>
      <c r="B6" s="8" t="inlineStr">
        <is>
          <t>Peanuts Linus&amp;Snoopy</t>
        </is>
      </c>
      <c r="C6" s="7" t="n">
        <v>1</v>
      </c>
      <c r="D6" s="7" t="n">
        <v>356</v>
      </c>
      <c r="E6" s="9">
        <f>IFERROR(C6/(C6+D6),0)</f>
        <v/>
      </c>
      <c r="F6" s="8" t="inlineStr">
        <is>
          <t>27/09/26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66</v>
      </c>
      <c r="D7" s="11" t="n">
        <v>286</v>
      </c>
      <c r="E7" s="13">
        <f>IFERROR(C7/(C7+D7),0)</f>
        <v/>
      </c>
      <c r="F7" s="12" t="inlineStr">
        <is>
          <t>30/09/26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4</v>
      </c>
      <c r="B8" s="8" t="inlineStr">
        <is>
          <t>Max &amp; Min</t>
        </is>
      </c>
      <c r="C8" s="7" t="n">
        <v>30</v>
      </c>
      <c r="D8" s="7" t="n">
        <v>327</v>
      </c>
      <c r="E8" s="9">
        <f>IFERROR(C8/(C8+D8),0)</f>
        <v/>
      </c>
      <c r="F8" s="8" t="inlineStr">
        <is>
          <t>30/09/26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5</v>
      </c>
      <c r="B9" s="12" t="inlineStr">
        <is>
          <t>Mandil Verde</t>
        </is>
      </c>
      <c r="C9" s="11" t="n">
        <v>60</v>
      </c>
      <c r="D9" s="11" t="n">
        <v>297</v>
      </c>
      <c r="E9" s="13">
        <f>IFERROR(C9/(C9+D9),0)</f>
        <v/>
      </c>
      <c r="F9" s="12" t="inlineStr">
        <is>
          <t>30/09/26</t>
        </is>
      </c>
      <c r="G9" s="14" t="inlineStr">
        <is>
          <t>Atención</t>
        </is>
      </c>
      <c r="H9" s="14" t="inlineStr">
        <is>
          <t>Priorizar hoy</t>
        </is>
      </c>
    </row>
    <row r="10" ht="21" customHeight="1">
      <c r="A10" s="7" t="n">
        <v>6</v>
      </c>
      <c r="B10" s="8" t="inlineStr">
        <is>
          <t>Lay Out</t>
        </is>
      </c>
      <c r="C10" s="7" t="n">
        <v>37</v>
      </c>
      <c r="D10" s="7" t="n">
        <v>320</v>
      </c>
      <c r="E10" s="9">
        <f>IFERROR(C10/(C10+D10),0)</f>
        <v/>
      </c>
      <c r="F10" s="8" t="inlineStr">
        <is>
          <t>30/09/26</t>
        </is>
      </c>
      <c r="G10" s="14" t="inlineStr">
        <is>
          <t>Atención</t>
        </is>
      </c>
      <c r="H10" s="14" t="inlineStr">
        <is>
          <t>Priorizar hoy</t>
        </is>
      </c>
    </row>
    <row r="11" ht="21" customHeight="1">
      <c r="A11" s="11" t="n">
        <v>7</v>
      </c>
      <c r="B11" s="12" t="inlineStr">
        <is>
          <t>Community Board</t>
        </is>
      </c>
      <c r="C11" s="11" t="n">
        <v>24</v>
      </c>
      <c r="D11" s="11" t="n">
        <v>322</v>
      </c>
      <c r="E11" s="13">
        <f>IFERROR(C11/(C11+D11),0)</f>
        <v/>
      </c>
      <c r="F11" s="12" t="inlineStr">
        <is>
          <t>30/09/26</t>
        </is>
      </c>
      <c r="G11" s="14" t="inlineStr">
        <is>
          <t>Atención</t>
        </is>
      </c>
      <c r="H11" s="14" t="inlineStr">
        <is>
          <t>Priorizar hoy</t>
        </is>
      </c>
    </row>
    <row r="12" ht="21" customHeight="1">
      <c r="A12" s="7" t="n">
        <v>8</v>
      </c>
      <c r="B12" s="8" t="inlineStr">
        <is>
          <t>Señaletica Back</t>
        </is>
      </c>
      <c r="C12" s="7" t="n">
        <v>23</v>
      </c>
      <c r="D12" s="7" t="n">
        <v>334</v>
      </c>
      <c r="E12" s="9">
        <f>IFERROR(C12/(C12+D12),0)</f>
        <v/>
      </c>
      <c r="F12" s="8" t="inlineStr">
        <is>
          <t>30/09/26</t>
        </is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9</v>
      </c>
      <c r="B13" s="12" t="inlineStr">
        <is>
          <t>Señaletica Lobby</t>
        </is>
      </c>
      <c r="C13" s="11" t="n">
        <v>23</v>
      </c>
      <c r="D13" s="11" t="n">
        <v>334</v>
      </c>
      <c r="E13" s="13">
        <f>IFERROR(C13/(C13+D13),0)</f>
        <v/>
      </c>
      <c r="F13" s="12" t="inlineStr">
        <is>
          <t>30/09/26</t>
        </is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10</v>
      </c>
      <c r="B14" s="8" t="inlineStr">
        <is>
          <t>Jarras Blender | Cold Foam</t>
        </is>
      </c>
      <c r="C14" s="7" t="n">
        <v>114</v>
      </c>
      <c r="D14" s="7" t="n">
        <v>243</v>
      </c>
      <c r="E14" s="9">
        <f>IFERROR(C14/(C14+D14),0)</f>
        <v/>
      </c>
      <c r="F14" s="8" t="inlineStr">
        <is>
          <t>30/09/26</t>
        </is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11</v>
      </c>
      <c r="B15" s="12" t="inlineStr">
        <is>
          <t>Organizacion Refrigeradores Back</t>
        </is>
      </c>
      <c r="C15" s="11" t="n">
        <v>1</v>
      </c>
      <c r="D15" s="11" t="n">
        <v>356</v>
      </c>
      <c r="E15" s="13">
        <f>IFERROR(C15/(C15+D15),0)</f>
        <v/>
      </c>
      <c r="F15" s="12" t="inlineStr">
        <is>
          <t>30/09/26</t>
        </is>
      </c>
      <c r="G15" s="14" t="inlineStr">
        <is>
          <t>Atención</t>
        </is>
      </c>
      <c r="H15" s="14" t="inlineStr">
        <is>
          <t>Priorizar hoy</t>
        </is>
      </c>
    </row>
  </sheetData>
  <autoFilter ref="A4:H15"/>
  <mergeCells count="2">
    <mergeCell ref="A1:H2"/>
    <mergeCell ref="A3:H3"/>
  </mergeCells>
  <conditionalFormatting sqref="E5:E15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G119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18" customWidth="1" min="4" max="4"/>
    <col width="20" customWidth="1" min="5" max="5"/>
    <col width="17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19/09/2026 15:31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Cesar Flores</t>
        </is>
      </c>
      <c r="D5" s="11" t="n">
        <v>2</v>
      </c>
      <c r="E5" s="11" t="n">
        <v>2</v>
      </c>
      <c r="F5" s="11" t="n">
        <v>4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https://grupovips-my.sharepoint.com/personal/enrique_cesar_starbucks_com_mx/Documents/Nube_EnriqueCesar/Aplicaciones/Microsoft%20Forms/Sistema%20de%20Evidencias%20OPS/Evidencia_Se%C3%B1aletica_Lobby%201/21d535a4-6aa9-4964-8d4d-febb4f3b8362_Starbucks%20CC%20Coalcal.jpeg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Cesar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Cesar Flores</t>
        </is>
      </c>
      <c r="D7" s="11" t="n">
        <v>3</v>
      </c>
      <c r="E7" s="11" t="n">
        <v>2</v>
      </c>
      <c r="F7" s="11" t="n">
        <v>5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Cesar Flores</t>
        </is>
      </c>
      <c r="D8" s="7" t="n">
        <v>2</v>
      </c>
      <c r="E8" s="7" t="n">
        <v>1</v>
      </c>
      <c r="F8" s="7" t="n">
        <v>3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Cesar Flores</t>
        </is>
      </c>
      <c r="D9" s="11" t="n">
        <v>2</v>
      </c>
      <c r="E9" s="11" t="n">
        <v>1</v>
      </c>
      <c r="F9" s="11" t="n">
        <v>3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Cesar Flores</t>
        </is>
      </c>
      <c r="D10" s="7" t="n">
        <v>2</v>
      </c>
      <c r="E10" s="7" t="n">
        <v>1</v>
      </c>
      <c r="F10" s="7" t="n">
        <v>3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1" ht="21" customHeight="1">
      <c r="A11" s="15" t="inlineStr">
        <is>
          <t>38456</t>
        </is>
      </c>
      <c r="B11" s="12" t="inlineStr">
        <is>
          <t>Plaza las Flores</t>
        </is>
      </c>
      <c r="C11" s="12" t="inlineStr">
        <is>
          <t>Enrique Cesar Flores</t>
        </is>
      </c>
      <c r="D11" s="11" t="n">
        <v>2</v>
      </c>
      <c r="E11" s="11" t="n">
        <v>0</v>
      </c>
      <c r="F11" s="11" t="n">
        <v>2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2" ht="21" customHeight="1">
      <c r="A12" s="17" t="inlineStr">
        <is>
          <t>38862</t>
        </is>
      </c>
      <c r="B12" s="8" t="inlineStr">
        <is>
          <t>San Miguel Izcalli</t>
        </is>
      </c>
      <c r="C12" s="8" t="inlineStr">
        <is>
          <t>Enrique Cesar Flores</t>
        </is>
      </c>
      <c r="D12" s="7" t="n">
        <v>0</v>
      </c>
      <c r="E12" s="7" t="n">
        <v>1</v>
      </c>
      <c r="F12" s="7" t="n">
        <v>1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3" ht="21" customHeight="1">
      <c r="A13" s="15" t="inlineStr">
        <is>
          <t>38186</t>
        </is>
      </c>
      <c r="B13" s="12" t="inlineStr">
        <is>
          <t>Arboledas</t>
        </is>
      </c>
      <c r="C13" s="12" t="inlineStr">
        <is>
          <t>Nancy Carolina Rodriguez Medina</t>
        </is>
      </c>
      <c r="D13" s="11" t="n">
        <v>1</v>
      </c>
      <c r="E13" s="11" t="n">
        <v>0</v>
      </c>
      <c r="F13" s="11" t="n">
        <v>1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4" ht="21" customHeight="1">
      <c r="A14" s="17" t="inlineStr">
        <is>
          <t>38606</t>
        </is>
      </c>
      <c r="B14" s="8" t="inlineStr">
        <is>
          <t>TlalnepantlaCarso</t>
        </is>
      </c>
      <c r="C14" s="8" t="inlineStr">
        <is>
          <t>Nancy Carolina Rodriguez Medina</t>
        </is>
      </c>
      <c r="D14" s="7" t="n">
        <v>2</v>
      </c>
      <c r="E14" s="7" t="n">
        <v>1</v>
      </c>
      <c r="F14" s="7" t="n">
        <v>3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5" ht="21" customHeight="1">
      <c r="A15" s="15" t="inlineStr">
        <is>
          <t>38371</t>
        </is>
      </c>
      <c r="B15" s="12" t="inlineStr">
        <is>
          <t>Montevideo DT</t>
        </is>
      </c>
      <c r="C15" s="12" t="inlineStr">
        <is>
          <t>Vanessa Carreño Rios</t>
        </is>
      </c>
      <c r="D15" s="11" t="n">
        <v>2</v>
      </c>
      <c r="E15" s="11" t="n">
        <v>1</v>
      </c>
      <c r="F15" s="11" t="n">
        <v>3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16" ht="21" customHeight="1">
      <c r="A16" s="17" t="inlineStr">
        <is>
          <t>38695</t>
        </is>
      </c>
      <c r="B16" s="8" t="inlineStr">
        <is>
          <t>Cetram 4 Caminos</t>
        </is>
      </c>
      <c r="C16" s="8" t="inlineStr">
        <is>
          <t>Yazmin Chabela Guadarrama</t>
        </is>
      </c>
      <c r="D16" s="7" t="n">
        <v>3</v>
      </c>
      <c r="E16" s="7" t="n">
        <v>1</v>
      </c>
      <c r="F16" s="7" t="n">
        <v>4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17" ht="21" customHeight="1">
      <c r="A17" s="15" t="inlineStr">
        <is>
          <t>38197</t>
        </is>
      </c>
      <c r="B17" s="12" t="inlineStr">
        <is>
          <t>Echegaray</t>
        </is>
      </c>
      <c r="C17" s="12" t="inlineStr">
        <is>
          <t>Yazmin Chabela Guadarrama</t>
        </is>
      </c>
      <c r="D17" s="11" t="n">
        <v>3</v>
      </c>
      <c r="E17" s="11" t="n">
        <v>2</v>
      </c>
      <c r="F17" s="11" t="n">
        <v>5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18" ht="21" customHeight="1">
      <c r="A18" s="17" t="inlineStr">
        <is>
          <t>38458</t>
        </is>
      </c>
      <c r="B18" s="8" t="inlineStr">
        <is>
          <t>El Rosario</t>
        </is>
      </c>
      <c r="C18" s="8" t="inlineStr">
        <is>
          <t>Yazmin Chabela Guadarrama</t>
        </is>
      </c>
      <c r="D18" s="7" t="n">
        <v>2</v>
      </c>
      <c r="E18" s="7" t="n">
        <v>0</v>
      </c>
      <c r="F18" s="7" t="n">
        <v>2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19" ht="21" customHeight="1">
      <c r="A19" s="15" t="inlineStr">
        <is>
          <t>38561</t>
        </is>
      </c>
      <c r="B19" s="12" t="inlineStr">
        <is>
          <t>Parque Toreo</t>
        </is>
      </c>
      <c r="C19" s="12" t="inlineStr">
        <is>
          <t>Yazmin Chabela Guadarrama</t>
        </is>
      </c>
      <c r="D19" s="11" t="n">
        <v>4</v>
      </c>
      <c r="E19" s="11" t="n">
        <v>1</v>
      </c>
      <c r="F19" s="11" t="n">
        <v>5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20" ht="21" customHeight="1">
      <c r="A20" s="17" t="inlineStr">
        <is>
          <t>38859</t>
        </is>
      </c>
      <c r="B20" s="8" t="inlineStr">
        <is>
          <t>Plaza Satelite II N1</t>
        </is>
      </c>
      <c r="C20" s="8" t="inlineStr">
        <is>
          <t>Yazmin Chabela Guadarrama</t>
        </is>
      </c>
      <c r="D20" s="7" t="n">
        <v>3</v>
      </c>
      <c r="E20" s="7" t="n">
        <v>1</v>
      </c>
      <c r="F20" s="7" t="n">
        <v>4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21" ht="21" customHeight="1">
      <c r="A21" s="15" t="inlineStr">
        <is>
          <t>38117</t>
        </is>
      </c>
      <c r="B21" s="12" t="inlineStr">
        <is>
          <t>Satelite</t>
        </is>
      </c>
      <c r="C21" s="12" t="inlineStr">
        <is>
          <t>Yazmin Chabela Guadarrama</t>
        </is>
      </c>
      <c r="D21" s="11" t="n">
        <v>2</v>
      </c>
      <c r="E21" s="11" t="n">
        <v>2</v>
      </c>
      <c r="F21" s="11" t="n">
        <v>4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22" ht="21" customHeight="1">
      <c r="A22" s="17" t="inlineStr">
        <is>
          <t>38475</t>
        </is>
      </c>
      <c r="B22" s="8" t="inlineStr">
        <is>
          <t>Satelite Centro Civico</t>
        </is>
      </c>
      <c r="C22" s="8" t="inlineStr">
        <is>
          <t>Yazmin Chabela Guadarrama</t>
        </is>
      </c>
      <c r="D22" s="7" t="n">
        <v>2</v>
      </c>
      <c r="E22" s="7" t="n">
        <v>2</v>
      </c>
      <c r="F22" s="7" t="n">
        <v>4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23" ht="21" customHeight="1">
      <c r="A23" s="15" t="inlineStr">
        <is>
          <t>38103</t>
        </is>
      </c>
      <c r="B23" s="12" t="inlineStr">
        <is>
          <t>Aguilas</t>
        </is>
      </c>
      <c r="C23" s="12" t="inlineStr">
        <is>
          <t>Adriana Alejandra Tanus Buhler</t>
        </is>
      </c>
      <c r="D23" s="11" t="n">
        <v>2</v>
      </c>
      <c r="E23" s="11" t="n">
        <v>1</v>
      </c>
      <c r="F23" s="11" t="n">
        <v>3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24" ht="21" customHeight="1">
      <c r="A24" s="17" t="inlineStr">
        <is>
          <t>38746</t>
        </is>
      </c>
      <c r="B24" s="8" t="inlineStr">
        <is>
          <t>Arcos Bosques II</t>
        </is>
      </c>
      <c r="C24" s="8" t="inlineStr">
        <is>
          <t>Adriana Alejandra Tanus Buhler</t>
        </is>
      </c>
      <c r="D24" s="7" t="n">
        <v>1</v>
      </c>
      <c r="E24" s="7" t="n">
        <v>1</v>
      </c>
      <c r="F24" s="7" t="n">
        <v>2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25" ht="21" customHeight="1">
      <c r="A25" s="15" t="inlineStr">
        <is>
          <t>38617</t>
        </is>
      </c>
      <c r="B25" s="12" t="inlineStr">
        <is>
          <t>Axomiatla</t>
        </is>
      </c>
      <c r="C25" s="12" t="inlineStr">
        <is>
          <t>Adriana Alejandra Tanus Buhler</t>
        </is>
      </c>
      <c r="D25" s="11" t="n">
        <v>0</v>
      </c>
      <c r="E25" s="11" t="n">
        <v>0</v>
      </c>
      <c r="F25" s="11" t="n">
        <v>0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26" ht="21" customHeight="1">
      <c r="A26" s="17" t="inlineStr">
        <is>
          <t>38646</t>
        </is>
      </c>
      <c r="B26" s="8" t="inlineStr">
        <is>
          <t>Carracci</t>
        </is>
      </c>
      <c r="C26" s="8" t="inlineStr">
        <is>
          <t>Adriana Alejandra Tanus Buhler</t>
        </is>
      </c>
      <c r="D26" s="7" t="n">
        <v>1</v>
      </c>
      <c r="E26" s="7" t="n">
        <v>2</v>
      </c>
      <c r="F26" s="7" t="n">
        <v>3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27" ht="21" customHeight="1">
      <c r="A27" s="15" t="inlineStr">
        <is>
          <t>38112</t>
        </is>
      </c>
      <c r="B27" s="12" t="inlineStr">
        <is>
          <t>Insurgentes Parroquia</t>
        </is>
      </c>
      <c r="C27" s="12" t="inlineStr">
        <is>
          <t>Adriana Alejandra Tanus Buhler</t>
        </is>
      </c>
      <c r="D27" s="11" t="n">
        <v>1</v>
      </c>
      <c r="E27" s="11" t="n">
        <v>1</v>
      </c>
      <c r="F27" s="11" t="n">
        <v>2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28" ht="21" customHeight="1">
      <c r="A28" s="17" t="inlineStr">
        <is>
          <t>38227</t>
        </is>
      </c>
      <c r="B28" s="8" t="inlineStr">
        <is>
          <t>Lomas Plaza</t>
        </is>
      </c>
      <c r="C28" s="8" t="inlineStr">
        <is>
          <t>Adriana Alejandra Tanus Buhler</t>
        </is>
      </c>
      <c r="D28" s="7" t="n">
        <v>2</v>
      </c>
      <c r="E28" s="7" t="n">
        <v>1</v>
      </c>
      <c r="F28" s="7" t="n">
        <v>3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29" ht="21" customHeight="1">
      <c r="A29" s="15" t="inlineStr">
        <is>
          <t>38730</t>
        </is>
      </c>
      <c r="B29" s="12" t="inlineStr">
        <is>
          <t>Manacar PB</t>
        </is>
      </c>
      <c r="C29" s="12" t="inlineStr">
        <is>
          <t>Adriana Alejandra Tanus Buhler</t>
        </is>
      </c>
      <c r="D29" s="11" t="n">
        <v>1</v>
      </c>
      <c r="E29" s="11" t="n">
        <v>1</v>
      </c>
      <c r="F29" s="11" t="n">
        <v>2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30" ht="21" customHeight="1">
      <c r="A30" s="17" t="inlineStr">
        <is>
          <t>43142</t>
        </is>
      </c>
      <c r="B30" s="8" t="inlineStr">
        <is>
          <t>Montes Urales</t>
        </is>
      </c>
      <c r="C30" s="8" t="inlineStr">
        <is>
          <t>Adriana Alejandra Tanus Buhler</t>
        </is>
      </c>
      <c r="D30" s="7" t="n">
        <v>2</v>
      </c>
      <c r="E30" s="7" t="n">
        <v>1</v>
      </c>
      <c r="F30" s="7" t="n">
        <v>3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31" ht="21" customHeight="1">
      <c r="A31" s="15" t="inlineStr">
        <is>
          <t>38188</t>
        </is>
      </c>
      <c r="B31" s="12" t="inlineStr">
        <is>
          <t>Palmas</t>
        </is>
      </c>
      <c r="C31" s="12" t="inlineStr">
        <is>
          <t>Adriana Alejandra Tanus Buhler</t>
        </is>
      </c>
      <c r="D31" s="11" t="n">
        <v>2</v>
      </c>
      <c r="E31" s="11" t="n">
        <v>1</v>
      </c>
      <c r="F31" s="11" t="n">
        <v>3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32" ht="21" customHeight="1">
      <c r="A32" s="17" t="inlineStr">
        <is>
          <t>38692</t>
        </is>
      </c>
      <c r="B32" s="8" t="inlineStr">
        <is>
          <t>Plaza Exhibimex</t>
        </is>
      </c>
      <c r="C32" s="8" t="inlineStr">
        <is>
          <t>Adriana Alejandra Tanus Buhler</t>
        </is>
      </c>
      <c r="D32" s="7" t="n">
        <v>2</v>
      </c>
      <c r="E32" s="7" t="n">
        <v>0</v>
      </c>
      <c r="F32" s="7" t="n">
        <v>2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33" ht="21" customHeight="1">
      <c r="A33" s="15" t="inlineStr">
        <is>
          <t>38106</t>
        </is>
      </c>
      <c r="B33" s="12" t="inlineStr">
        <is>
          <t>Prado Norte</t>
        </is>
      </c>
      <c r="C33" s="12" t="inlineStr">
        <is>
          <t>Adriana Alejandra Tanus Buhler</t>
        </is>
      </c>
      <c r="D33" s="11" t="n">
        <v>1</v>
      </c>
      <c r="E33" s="11" t="n">
        <v>1</v>
      </c>
      <c r="F33" s="11" t="n">
        <v>2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34" ht="21" customHeight="1">
      <c r="A34" s="17" t="inlineStr">
        <is>
          <t>38954</t>
        </is>
      </c>
      <c r="B34" s="8" t="inlineStr">
        <is>
          <t>Universidad Anahuac Campus Sur</t>
        </is>
      </c>
      <c r="C34" s="8" t="inlineStr">
        <is>
          <t>Adriana Alejandra Tanus Buhler</t>
        </is>
      </c>
      <c r="D34" s="7" t="n">
        <v>1</v>
      </c>
      <c r="E34" s="7" t="n">
        <v>1</v>
      </c>
      <c r="F34" s="7" t="n">
        <v>2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35" ht="21" customHeight="1">
      <c r="A35" s="15" t="inlineStr">
        <is>
          <t>43011</t>
        </is>
      </c>
      <c r="B35" s="12" t="inlineStr">
        <is>
          <t>Carr Toluca-Atlacomulco DT</t>
        </is>
      </c>
      <c r="C35" s="12" t="inlineStr">
        <is>
          <t>Andrea Nava Guzman</t>
        </is>
      </c>
      <c r="D35" s="11" t="n">
        <v>3</v>
      </c>
      <c r="E35" s="11" t="n">
        <v>1</v>
      </c>
      <c r="F35" s="11" t="n">
        <v>4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36" ht="21" customHeight="1">
      <c r="A36" s="17" t="inlineStr">
        <is>
          <t>43058</t>
        </is>
      </c>
      <c r="B36" s="8" t="inlineStr">
        <is>
          <t>Casa de Gobierno DT</t>
        </is>
      </c>
      <c r="C36" s="8" t="inlineStr">
        <is>
          <t>Andrea Nava Guzman</t>
        </is>
      </c>
      <c r="D36" s="7" t="n">
        <v>3</v>
      </c>
      <c r="E36" s="7" t="n">
        <v>1</v>
      </c>
      <c r="F36" s="7" t="n">
        <v>4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37" ht="21" customHeight="1">
      <c r="A37" s="15" t="inlineStr">
        <is>
          <t>38847</t>
        </is>
      </c>
      <c r="B37" s="12" t="inlineStr">
        <is>
          <t>El Molino</t>
        </is>
      </c>
      <c r="C37" s="12" t="inlineStr">
        <is>
          <t>Andrea Nava Guzman</t>
        </is>
      </c>
      <c r="D37" s="11" t="n">
        <v>1</v>
      </c>
      <c r="E37" s="11" t="n">
        <v>1</v>
      </c>
      <c r="F37" s="11" t="n">
        <v>2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38" ht="21" customHeight="1">
      <c r="A38" s="17" t="inlineStr">
        <is>
          <t>38578</t>
        </is>
      </c>
      <c r="B38" s="8" t="inlineStr">
        <is>
          <t>Galerias Toluca</t>
        </is>
      </c>
      <c r="C38" s="8" t="inlineStr">
        <is>
          <t>Andrea Nava Guzman</t>
        </is>
      </c>
      <c r="D38" s="7" t="n">
        <v>2</v>
      </c>
      <c r="E38" s="7" t="n">
        <v>2</v>
      </c>
      <c r="F38" s="7" t="n">
        <v>4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39" ht="21" customHeight="1">
      <c r="A39" s="15" t="inlineStr">
        <is>
          <t>43147</t>
        </is>
      </c>
      <c r="B39" s="12" t="inlineStr">
        <is>
          <t>Juarez 70</t>
        </is>
      </c>
      <c r="C39" s="12" t="inlineStr">
        <is>
          <t>Andrea Nava Guzman</t>
        </is>
      </c>
      <c r="D39" s="11" t="n">
        <v>2</v>
      </c>
      <c r="E39" s="11" t="n">
        <v>1</v>
      </c>
      <c r="F39" s="11" t="n">
        <v>3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40" ht="21" customHeight="1">
      <c r="A40" s="17" t="inlineStr">
        <is>
          <t>38829</t>
        </is>
      </c>
      <c r="B40" s="8" t="inlineStr">
        <is>
          <t>Outlet Lerma</t>
        </is>
      </c>
      <c r="C40" s="8" t="inlineStr">
        <is>
          <t>Andrea Nava Guzman</t>
        </is>
      </c>
      <c r="D40" s="7" t="n">
        <v>2</v>
      </c>
      <c r="E40" s="7" t="n">
        <v>1</v>
      </c>
      <c r="F40" s="7" t="n">
        <v>3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41" ht="21" customHeight="1">
      <c r="A41" s="15" t="inlineStr">
        <is>
          <t>38769</t>
        </is>
      </c>
      <c r="B41" s="12" t="inlineStr">
        <is>
          <t>Patio Toluca</t>
        </is>
      </c>
      <c r="C41" s="12" t="inlineStr">
        <is>
          <t>Andrea Nava Guzman</t>
        </is>
      </c>
      <c r="D41" s="11" t="n">
        <v>1</v>
      </c>
      <c r="E41" s="11" t="n">
        <v>0</v>
      </c>
      <c r="F41" s="11" t="n">
        <v>1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42" ht="21" customHeight="1">
      <c r="A42" s="17" t="inlineStr">
        <is>
          <t>38233</t>
        </is>
      </c>
      <c r="B42" s="8" t="inlineStr">
        <is>
          <t>Toluca Colon</t>
        </is>
      </c>
      <c r="C42" s="8" t="inlineStr">
        <is>
          <t>Andrea Nava Guzman</t>
        </is>
      </c>
      <c r="D42" s="7" t="n">
        <v>3</v>
      </c>
      <c r="E42" s="7" t="n">
        <v>0</v>
      </c>
      <c r="F42" s="7" t="n">
        <v>3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43" ht="21" customHeight="1">
      <c r="A43" s="15" t="inlineStr">
        <is>
          <t>38568</t>
        </is>
      </c>
      <c r="B43" s="12" t="inlineStr">
        <is>
          <t>Av Stim</t>
        </is>
      </c>
      <c r="C43" s="12" t="inlineStr">
        <is>
          <t>Areli Anahi Lazcano Lezama</t>
        </is>
      </c>
      <c r="D43" s="11" t="n">
        <v>2</v>
      </c>
      <c r="E43" s="11" t="n">
        <v>1</v>
      </c>
      <c r="F43" s="11" t="n">
        <v>3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44" ht="21" customHeight="1">
      <c r="A44" s="17" t="inlineStr">
        <is>
          <t>38918</t>
        </is>
      </c>
      <c r="B44" s="8" t="inlineStr">
        <is>
          <t>Bosque Real</t>
        </is>
      </c>
      <c r="C44" s="8" t="inlineStr">
        <is>
          <t>Areli Anahi Lazcano Lezama</t>
        </is>
      </c>
      <c r="D44" s="7" t="n">
        <v>2</v>
      </c>
      <c r="E44" s="7" t="n">
        <v>1</v>
      </c>
      <c r="F44" s="7" t="n">
        <v>3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45" ht="21" customHeight="1">
      <c r="A45" s="15" t="inlineStr">
        <is>
          <t>38815</t>
        </is>
      </c>
      <c r="B45" s="12" t="inlineStr">
        <is>
          <t>Central Interlomas</t>
        </is>
      </c>
      <c r="C45" s="12" t="inlineStr">
        <is>
          <t>Areli Anahi Lazcano Lezama</t>
        </is>
      </c>
      <c r="D45" s="11" t="n">
        <v>1</v>
      </c>
      <c r="E45" s="11" t="n">
        <v>1</v>
      </c>
      <c r="F45" s="11" t="n">
        <v>2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46" ht="21" customHeight="1">
      <c r="A46" s="17" t="inlineStr">
        <is>
          <t>38292</t>
        </is>
      </c>
      <c r="B46" s="8" t="inlineStr">
        <is>
          <t>Jesús del Monte</t>
        </is>
      </c>
      <c r="C46" s="8" t="inlineStr">
        <is>
          <t>Areli Anahi Lazcano Lezama</t>
        </is>
      </c>
      <c r="D46" s="7" t="n">
        <v>2</v>
      </c>
      <c r="E46" s="7" t="n">
        <v>1</v>
      </c>
      <c r="F46" s="7" t="n">
        <v>3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47" ht="21" customHeight="1">
      <c r="A47" s="15" t="inlineStr">
        <is>
          <t>38185</t>
        </is>
      </c>
      <c r="B47" s="12" t="inlineStr">
        <is>
          <t>Magnocentro</t>
        </is>
      </c>
      <c r="C47" s="12" t="inlineStr">
        <is>
          <t>Areli Anahi Lazcano Lezama</t>
        </is>
      </c>
      <c r="D47" s="11" t="n">
        <v>1</v>
      </c>
      <c r="E47" s="11" t="n">
        <v>2</v>
      </c>
      <c r="F47" s="11" t="n">
        <v>3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48" ht="21" customHeight="1">
      <c r="A48" s="17" t="inlineStr">
        <is>
          <t>43107</t>
        </is>
      </c>
      <c r="B48" s="8" t="inlineStr">
        <is>
          <t>Pabellón Bosques</t>
        </is>
      </c>
      <c r="C48" s="8" t="inlineStr">
        <is>
          <t>Areli Anahi Lazcano Lezama</t>
        </is>
      </c>
      <c r="D48" s="7" t="n">
        <v>2</v>
      </c>
      <c r="E48" s="7" t="n">
        <v>1</v>
      </c>
      <c r="F48" s="7" t="n">
        <v>3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49" ht="21" customHeight="1">
      <c r="A49" s="15" t="inlineStr">
        <is>
          <t>38452</t>
        </is>
      </c>
      <c r="B49" s="12" t="inlineStr">
        <is>
          <t>Parque Interlomas</t>
        </is>
      </c>
      <c r="C49" s="12" t="inlineStr">
        <is>
          <t>Areli Anahi Lazcano Lezama</t>
        </is>
      </c>
      <c r="D49" s="11" t="n">
        <v>2</v>
      </c>
      <c r="E49" s="11" t="n">
        <v>1</v>
      </c>
      <c r="F49" s="11" t="n">
        <v>3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50" ht="21" customHeight="1">
      <c r="A50" s="17" t="inlineStr">
        <is>
          <t>38466</t>
        </is>
      </c>
      <c r="B50" s="8" t="inlineStr">
        <is>
          <t>Paseo Interlomas I</t>
        </is>
      </c>
      <c r="C50" s="8" t="inlineStr">
        <is>
          <t>Areli Anahi Lazcano Lezama</t>
        </is>
      </c>
      <c r="D50" s="7" t="n">
        <v>2</v>
      </c>
      <c r="E50" s="7" t="n">
        <v>1</v>
      </c>
      <c r="F50" s="7" t="n">
        <v>3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51" ht="21" customHeight="1">
      <c r="A51" s="15" t="inlineStr">
        <is>
          <t>38553</t>
        </is>
      </c>
      <c r="B51" s="12" t="inlineStr">
        <is>
          <t>Paseo Interlomas II</t>
        </is>
      </c>
      <c r="C51" s="12" t="inlineStr">
        <is>
          <t>Areli Anahi Lazcano Lezama</t>
        </is>
      </c>
      <c r="D51" s="11" t="n">
        <v>2</v>
      </c>
      <c r="E51" s="11" t="n">
        <v>1</v>
      </c>
      <c r="F51" s="11" t="n">
        <v>3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52" ht="21" customHeight="1">
      <c r="A52" s="17" t="inlineStr">
        <is>
          <t>38799</t>
        </is>
      </c>
      <c r="B52" s="8" t="inlineStr">
        <is>
          <t>Paseo Interlomas III</t>
        </is>
      </c>
      <c r="C52" s="8" t="inlineStr">
        <is>
          <t>Areli Anahi Lazcano Lezama</t>
        </is>
      </c>
      <c r="D52" s="7" t="n">
        <v>2</v>
      </c>
      <c r="E52" s="7" t="n">
        <v>1</v>
      </c>
      <c r="F52" s="7" t="n">
        <v>3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53" ht="21" customHeight="1">
      <c r="A53" s="15" t="inlineStr">
        <is>
          <t>38179</t>
        </is>
      </c>
      <c r="B53" s="12" t="inlineStr">
        <is>
          <t>Universidad Anáhuac</t>
        </is>
      </c>
      <c r="C53" s="12" t="inlineStr">
        <is>
          <t>Areli Anahi Lazcano Lezama</t>
        </is>
      </c>
      <c r="D53" s="11" t="n">
        <v>2</v>
      </c>
      <c r="E53" s="11" t="n">
        <v>1</v>
      </c>
      <c r="F53" s="11" t="n">
        <v>3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54" ht="21" customHeight="1">
      <c r="A54" s="17" t="inlineStr">
        <is>
          <t>38439</t>
        </is>
      </c>
      <c r="B54" s="8" t="inlineStr">
        <is>
          <t>Ángeles Interlomas</t>
        </is>
      </c>
      <c r="C54" s="8" t="inlineStr">
        <is>
          <t>Areli Anahi Lazcano Lezama</t>
        </is>
      </c>
      <c r="D54" s="7" t="n">
        <v>2</v>
      </c>
      <c r="E54" s="7" t="n">
        <v>2</v>
      </c>
      <c r="F54" s="7" t="n">
        <v>4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55" ht="21" customHeight="1">
      <c r="A55" s="15" t="inlineStr">
        <is>
          <t>38957</t>
        </is>
      </c>
      <c r="B55" s="12" t="inlineStr">
        <is>
          <t>Avándaro</t>
        </is>
      </c>
      <c r="C55" s="12" t="inlineStr">
        <is>
          <t>Daniel Flores Maldonado</t>
        </is>
      </c>
      <c r="D55" s="11" t="n">
        <v>2</v>
      </c>
      <c r="E55" s="11" t="n">
        <v>1</v>
      </c>
      <c r="F55" s="11" t="n">
        <v>3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56" ht="21" customHeight="1">
      <c r="A56" s="17" t="inlineStr">
        <is>
          <t>38547</t>
        </is>
      </c>
      <c r="B56" s="8" t="inlineStr">
        <is>
          <t>Carr Toluca Mexico KM48</t>
        </is>
      </c>
      <c r="C56" s="8" t="inlineStr">
        <is>
          <t>Daniel Flores Maldonado</t>
        </is>
      </c>
      <c r="D56" s="7" t="n">
        <v>1</v>
      </c>
      <c r="E56" s="7" t="n">
        <v>1</v>
      </c>
      <c r="F56" s="7" t="n">
        <v>2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57" ht="21" customHeight="1">
      <c r="A57" s="15" t="inlineStr">
        <is>
          <t>43068</t>
        </is>
      </c>
      <c r="B57" s="12" t="inlineStr">
        <is>
          <t>Galerias Metepec II</t>
        </is>
      </c>
      <c r="C57" s="12" t="inlineStr">
        <is>
          <t>Daniel Flores Maldonado</t>
        </is>
      </c>
      <c r="D57" s="11" t="n">
        <v>2</v>
      </c>
      <c r="E57" s="11" t="n">
        <v>2</v>
      </c>
      <c r="F57" s="11" t="n">
        <v>4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58" ht="21" customHeight="1">
      <c r="A58" s="17" t="inlineStr">
        <is>
          <t>43059</t>
        </is>
      </c>
      <c r="B58" s="8" t="inlineStr">
        <is>
          <t>La Providencia DT</t>
        </is>
      </c>
      <c r="C58" s="8" t="inlineStr">
        <is>
          <t>Daniel Flores Maldonado</t>
        </is>
      </c>
      <c r="D58" s="7" t="n">
        <v>1</v>
      </c>
      <c r="E58" s="7" t="n">
        <v>0</v>
      </c>
      <c r="F58" s="7" t="n">
        <v>1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59" ht="21" customHeight="1">
      <c r="A59" s="15" t="inlineStr">
        <is>
          <t>38441</t>
        </is>
      </c>
      <c r="B59" s="12" t="inlineStr">
        <is>
          <t>Metepec Plaza del Parque</t>
        </is>
      </c>
      <c r="C59" s="12" t="inlineStr">
        <is>
          <t>Daniel Flores Maldonado</t>
        </is>
      </c>
      <c r="D59" s="11" t="n">
        <v>1</v>
      </c>
      <c r="E59" s="11" t="n">
        <v>1</v>
      </c>
      <c r="F59" s="11" t="n">
        <v>2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60" ht="21" customHeight="1">
      <c r="A60" s="17" t="inlineStr">
        <is>
          <t>38668</t>
        </is>
      </c>
      <c r="B60" s="8" t="inlineStr">
        <is>
          <t>Pabellon Metepec</t>
        </is>
      </c>
      <c r="C60" s="8" t="inlineStr">
        <is>
          <t>Daniel Flores Maldonado</t>
        </is>
      </c>
      <c r="D60" s="7" t="n">
        <v>2</v>
      </c>
      <c r="E60" s="7" t="n">
        <v>1</v>
      </c>
      <c r="F60" s="7" t="n">
        <v>3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61" ht="21" customHeight="1">
      <c r="A61" s="15" t="inlineStr">
        <is>
          <t>38896</t>
        </is>
      </c>
      <c r="B61" s="12" t="inlineStr">
        <is>
          <t>Paseo Tollocan DT</t>
        </is>
      </c>
      <c r="C61" s="12" t="inlineStr">
        <is>
          <t>Daniel Flores Maldonado</t>
        </is>
      </c>
      <c r="D61" s="11" t="n">
        <v>1</v>
      </c>
      <c r="E61" s="11" t="n">
        <v>0</v>
      </c>
      <c r="F61" s="11" t="n">
        <v>1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62" ht="21" customHeight="1">
      <c r="A62" s="17" t="inlineStr">
        <is>
          <t>38141</t>
        </is>
      </c>
      <c r="B62" s="8" t="inlineStr">
        <is>
          <t>Plaza Mayor Metepec</t>
        </is>
      </c>
      <c r="C62" s="8" t="inlineStr">
        <is>
          <t>Daniel Flores Maldonado</t>
        </is>
      </c>
      <c r="D62" s="7" t="n">
        <v>1</v>
      </c>
      <c r="E62" s="7" t="n">
        <v>0</v>
      </c>
      <c r="F62" s="7" t="n">
        <v>1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63" ht="21" customHeight="1">
      <c r="A63" s="15" t="inlineStr">
        <is>
          <t>38987</t>
        </is>
      </c>
      <c r="B63" s="12" t="inlineStr">
        <is>
          <t>Punta Zero Calimaya DT</t>
        </is>
      </c>
      <c r="C63" s="12" t="inlineStr">
        <is>
          <t>Daniel Flores Maldonado</t>
        </is>
      </c>
      <c r="D63" s="11" t="n">
        <v>1</v>
      </c>
      <c r="E63" s="11" t="n">
        <v>1</v>
      </c>
      <c r="F63" s="11" t="n">
        <v>2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64" ht="21" customHeight="1">
      <c r="A64" s="17" t="inlineStr">
        <is>
          <t>38485</t>
        </is>
      </c>
      <c r="B64" s="8" t="inlineStr">
        <is>
          <t>Sendero Toluca</t>
        </is>
      </c>
      <c r="C64" s="8" t="inlineStr">
        <is>
          <t>Daniel Flores Maldonado</t>
        </is>
      </c>
      <c r="D64" s="7" t="n">
        <v>2</v>
      </c>
      <c r="E64" s="7" t="n">
        <v>1</v>
      </c>
      <c r="F64" s="7" t="n">
        <v>3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65" ht="21" customHeight="1">
      <c r="A65" s="15" t="inlineStr">
        <is>
          <t>38319</t>
        </is>
      </c>
      <c r="B65" s="12" t="inlineStr">
        <is>
          <t>Tecnologico Metepec</t>
        </is>
      </c>
      <c r="C65" s="12" t="inlineStr">
        <is>
          <t>Daniel Flores Maldonado</t>
        </is>
      </c>
      <c r="D65" s="11" t="n">
        <v>1</v>
      </c>
      <c r="E65" s="11" t="n">
        <v>1</v>
      </c>
      <c r="F65" s="11" t="n">
        <v>2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66" ht="21" customHeight="1">
      <c r="A66" s="17" t="inlineStr">
        <is>
          <t>38508</t>
        </is>
      </c>
      <c r="B66" s="8" t="inlineStr">
        <is>
          <t>Ampliacion Santa Fe</t>
        </is>
      </c>
      <c r="C66" s="8" t="inlineStr">
        <is>
          <t>Erika Julieta Contreras Aguilera</t>
        </is>
      </c>
      <c r="D66" s="7" t="n">
        <v>1</v>
      </c>
      <c r="E66" s="7" t="n">
        <v>1</v>
      </c>
      <c r="F66" s="7" t="n">
        <v>2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67" ht="21" customHeight="1">
      <c r="A67" s="15" t="inlineStr">
        <is>
          <t>38607</t>
        </is>
      </c>
      <c r="B67" s="12" t="inlineStr">
        <is>
          <t>Carretera Mexico Toluca KM42</t>
        </is>
      </c>
      <c r="C67" s="12" t="inlineStr">
        <is>
          <t>Erika Julieta Contreras Aguilera</t>
        </is>
      </c>
      <c r="D67" s="11" t="n">
        <v>2</v>
      </c>
      <c r="E67" s="11" t="n">
        <v>0</v>
      </c>
      <c r="F67" s="11" t="n">
        <v>2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68" ht="21" customHeight="1">
      <c r="A68" s="17" t="inlineStr">
        <is>
          <t>38633</t>
        </is>
      </c>
      <c r="B68" s="8" t="inlineStr">
        <is>
          <t>Carretera Toluca Mexico (plaza cedros DT)</t>
        </is>
      </c>
      <c r="C68" s="8" t="inlineStr">
        <is>
          <t>Erika Julieta Contreras Aguilera</t>
        </is>
      </c>
      <c r="D68" s="7" t="n">
        <v>1</v>
      </c>
      <c r="E68" s="7" t="n">
        <v>0</v>
      </c>
      <c r="F68" s="7" t="n">
        <v>1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69" ht="21" customHeight="1">
      <c r="A69" s="15" t="inlineStr">
        <is>
          <t>38361</t>
        </is>
      </c>
      <c r="B69" s="12" t="inlineStr">
        <is>
          <t>Castorena</t>
        </is>
      </c>
      <c r="C69" s="12" t="inlineStr">
        <is>
          <t>Erika Julieta Contreras Aguilera</t>
        </is>
      </c>
      <c r="D69" s="11" t="n">
        <v>1</v>
      </c>
      <c r="E69" s="11" t="n">
        <v>1</v>
      </c>
      <c r="F69" s="11" t="n">
        <v>2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70" ht="21" customHeight="1">
      <c r="A70" s="17" t="inlineStr">
        <is>
          <t>38148</t>
        </is>
      </c>
      <c r="B70" s="8" t="inlineStr">
        <is>
          <t>Centro Comercial Santa Fe 1</t>
        </is>
      </c>
      <c r="C70" s="8" t="inlineStr">
        <is>
          <t>Erika Julieta Contreras Aguilera</t>
        </is>
      </c>
      <c r="D70" s="7" t="n">
        <v>2</v>
      </c>
      <c r="E70" s="7" t="n">
        <v>1</v>
      </c>
      <c r="F70" s="7" t="n">
        <v>3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71" ht="21" customHeight="1">
      <c r="A71" s="15" t="inlineStr">
        <is>
          <t>38225</t>
        </is>
      </c>
      <c r="B71" s="12" t="inlineStr">
        <is>
          <t>Centro Comercial Santa Fe 2</t>
        </is>
      </c>
      <c r="C71" s="12" t="inlineStr">
        <is>
          <t>Erika Julieta Contreras Aguilera</t>
        </is>
      </c>
      <c r="D71" s="11" t="n">
        <v>2</v>
      </c>
      <c r="E71" s="11" t="n">
        <v>1</v>
      </c>
      <c r="F71" s="11" t="n">
        <v>3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72" ht="21" customHeight="1">
      <c r="A72" s="17" t="inlineStr">
        <is>
          <t>38747</t>
        </is>
      </c>
      <c r="B72" s="8" t="inlineStr">
        <is>
          <t>Centro Comercial Santa Fe 3</t>
        </is>
      </c>
      <c r="C72" s="8" t="inlineStr">
        <is>
          <t>Erika Julieta Contreras Aguilera</t>
        </is>
      </c>
      <c r="D72" s="7" t="n">
        <v>2</v>
      </c>
      <c r="E72" s="7" t="n">
        <v>1</v>
      </c>
      <c r="F72" s="7" t="n">
        <v>3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73" ht="21" customHeight="1">
      <c r="A73" s="15" t="inlineStr">
        <is>
          <t>38438</t>
        </is>
      </c>
      <c r="B73" s="12" t="inlineStr">
        <is>
          <t>City Walk</t>
        </is>
      </c>
      <c r="C73" s="12" t="inlineStr">
        <is>
          <t>Erika Julieta Contreras Aguilera</t>
        </is>
      </c>
      <c r="D73" s="11" t="n">
        <v>2</v>
      </c>
      <c r="E73" s="11" t="n">
        <v>1</v>
      </c>
      <c r="F73" s="11" t="n">
        <v>3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74" ht="21" customHeight="1">
      <c r="A74" s="17" t="inlineStr">
        <is>
          <t>38704</t>
        </is>
      </c>
      <c r="B74" s="8" t="inlineStr">
        <is>
          <t>Corportivo Banamex</t>
        </is>
      </c>
      <c r="C74" s="8" t="inlineStr">
        <is>
          <t>Erika Julieta Contreras Aguilera</t>
        </is>
      </c>
      <c r="D74" s="7" t="n">
        <v>2</v>
      </c>
      <c r="E74" s="7" t="n">
        <v>1</v>
      </c>
      <c r="F74" s="7" t="n">
        <v>3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75" ht="21" customHeight="1">
      <c r="A75" s="15" t="inlineStr">
        <is>
          <t>38414</t>
        </is>
      </c>
      <c r="B75" s="12" t="inlineStr">
        <is>
          <t>Park Plaza</t>
        </is>
      </c>
      <c r="C75" s="12" t="inlineStr">
        <is>
          <t>Erika Julieta Contreras Aguilera</t>
        </is>
      </c>
      <c r="D75" s="11" t="n">
        <v>1</v>
      </c>
      <c r="E75" s="11" t="n">
        <v>1</v>
      </c>
      <c r="F75" s="11" t="n">
        <v>2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76" ht="21" customHeight="1">
      <c r="A76" s="17" t="inlineStr">
        <is>
          <t>38534</t>
        </is>
      </c>
      <c r="B76" s="8" t="inlineStr">
        <is>
          <t>Patio Santa Fe 1</t>
        </is>
      </c>
      <c r="C76" s="8" t="inlineStr">
        <is>
          <t>Erika Julieta Contreras Aguilera</t>
        </is>
      </c>
      <c r="D76" s="7" t="n">
        <v>1</v>
      </c>
      <c r="E76" s="7" t="n">
        <v>1</v>
      </c>
      <c r="F76" s="7" t="n">
        <v>2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77" ht="21" customHeight="1">
      <c r="A77" s="15" t="inlineStr">
        <is>
          <t>38749</t>
        </is>
      </c>
      <c r="B77" s="12" t="inlineStr">
        <is>
          <t>Patio Santa Fe 2</t>
        </is>
      </c>
      <c r="C77" s="12" t="inlineStr">
        <is>
          <t>Erika Julieta Contreras Aguilera</t>
        </is>
      </c>
      <c r="D77" s="11" t="n">
        <v>2</v>
      </c>
      <c r="E77" s="11" t="n">
        <v>1</v>
      </c>
      <c r="F77" s="11" t="n">
        <v>3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78" ht="21" customHeight="1">
      <c r="A78" s="17" t="inlineStr">
        <is>
          <t>38122</t>
        </is>
      </c>
      <c r="B78" s="8" t="inlineStr">
        <is>
          <t>Santa Fe</t>
        </is>
      </c>
      <c r="C78" s="8" t="inlineStr">
        <is>
          <t>Erika Julieta Contreras Aguilera</t>
        </is>
      </c>
      <c r="D78" s="7" t="n">
        <v>1</v>
      </c>
      <c r="E78" s="7" t="n">
        <v>1</v>
      </c>
      <c r="F78" s="7" t="n">
        <v>2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79" ht="21" customHeight="1">
      <c r="A79" s="15" t="inlineStr">
        <is>
          <t>38150</t>
        </is>
      </c>
      <c r="B79" s="12" t="inlineStr">
        <is>
          <t>Santa Fe 2</t>
        </is>
      </c>
      <c r="C79" s="12" t="inlineStr">
        <is>
          <t>Erika Julieta Contreras Aguilera</t>
        </is>
      </c>
      <c r="D79" s="11" t="n">
        <v>1</v>
      </c>
      <c r="E79" s="11" t="n">
        <v>0</v>
      </c>
      <c r="F79" s="11" t="n">
        <v>1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80" ht="21" customHeight="1">
      <c r="A80" s="17" t="inlineStr">
        <is>
          <t>38189</t>
        </is>
      </c>
      <c r="B80" s="8" t="inlineStr">
        <is>
          <t>Santa Fe Imax</t>
        </is>
      </c>
      <c r="C80" s="8" t="inlineStr">
        <is>
          <t>Erika Julieta Contreras Aguilera</t>
        </is>
      </c>
      <c r="D80" s="7" t="n">
        <v>3</v>
      </c>
      <c r="E80" s="7" t="n">
        <v>1</v>
      </c>
      <c r="F80" s="7" t="n">
        <v>4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81" ht="21" customHeight="1">
      <c r="A81" s="15" t="inlineStr">
        <is>
          <t>38929</t>
        </is>
      </c>
      <c r="B81" s="12" t="inlineStr">
        <is>
          <t>Aeropuerto Toluca AMB</t>
        </is>
      </c>
      <c r="C81" s="12" t="inlineStr">
        <is>
          <t>Jose De Jesus Magos Arzaluz</t>
        </is>
      </c>
      <c r="D81" s="11" t="n">
        <v>2</v>
      </c>
      <c r="E81" s="11" t="n">
        <v>1</v>
      </c>
      <c r="F81" s="11" t="n">
        <v>3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82" ht="21" customHeight="1">
      <c r="A82" s="17" t="inlineStr">
        <is>
          <t>43162</t>
        </is>
      </c>
      <c r="B82" s="8" t="inlineStr">
        <is>
          <t>Apto Toluca SUE</t>
        </is>
      </c>
      <c r="C82" s="8" t="inlineStr">
        <is>
          <t>Jose De Jesus Magos Arzaluz</t>
        </is>
      </c>
      <c r="D82" s="7" t="n">
        <v>2</v>
      </c>
      <c r="E82" s="7" t="n">
        <v>1</v>
      </c>
      <c r="F82" s="7" t="n">
        <v>3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83" ht="21" customHeight="1">
      <c r="A83" s="15" t="inlineStr">
        <is>
          <t>38400</t>
        </is>
      </c>
      <c r="B83" s="12" t="inlineStr">
        <is>
          <t>Centro Medico ABC Santa Fe</t>
        </is>
      </c>
      <c r="C83" s="12" t="inlineStr">
        <is>
          <t>Jose De Jesus Magos Arzaluz</t>
        </is>
      </c>
      <c r="D83" s="11" t="n">
        <v>1</v>
      </c>
      <c r="E83" s="11" t="n">
        <v>1</v>
      </c>
      <c r="F83" s="11" t="n">
        <v>2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84" ht="21" customHeight="1">
      <c r="A84" s="17" t="inlineStr">
        <is>
          <t>38798</t>
        </is>
      </c>
      <c r="B84" s="8" t="inlineStr">
        <is>
          <t>Corp. Televisa Sta Fe</t>
        </is>
      </c>
      <c r="C84" s="8" t="inlineStr">
        <is>
          <t>Jose De Jesus Magos Arzaluz</t>
        </is>
      </c>
      <c r="D84" s="7" t="n">
        <v>1</v>
      </c>
      <c r="E84" s="7" t="n">
        <v>1</v>
      </c>
      <c r="F84" s="7" t="n">
        <v>2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85" ht="21" customHeight="1">
      <c r="A85" s="15" t="inlineStr">
        <is>
          <t>38755</t>
        </is>
      </c>
      <c r="B85" s="12" t="inlineStr">
        <is>
          <t>Corporativo Santander</t>
        </is>
      </c>
      <c r="C85" s="12" t="inlineStr">
        <is>
          <t>Jose De Jesus Magos Arzaluz</t>
        </is>
      </c>
      <c r="D85" s="11" t="n">
        <v>2</v>
      </c>
      <c r="E85" s="11" t="n">
        <v>2</v>
      </c>
      <c r="F85" s="11" t="n">
        <v>4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86" ht="21" customHeight="1">
      <c r="A86" s="17" t="inlineStr">
        <is>
          <t>38512</t>
        </is>
      </c>
      <c r="B86" s="8" t="inlineStr">
        <is>
          <t>Garden Santa Fe</t>
        </is>
      </c>
      <c r="C86" s="8" t="inlineStr">
        <is>
          <t>Jose De Jesus Magos Arzaluz</t>
        </is>
      </c>
      <c r="D86" s="7" t="n">
        <v>2</v>
      </c>
      <c r="E86" s="7" t="n">
        <v>1</v>
      </c>
      <c r="F86" s="7" t="n">
        <v>3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87" ht="21" customHeight="1">
      <c r="A87" s="15" t="inlineStr">
        <is>
          <t>38532</t>
        </is>
      </c>
      <c r="B87" s="12" t="inlineStr">
        <is>
          <t>One o One</t>
        </is>
      </c>
      <c r="C87" s="12" t="inlineStr">
        <is>
          <t>Jose De Jesus Magos Arzaluz</t>
        </is>
      </c>
      <c r="D87" s="11" t="n">
        <v>1</v>
      </c>
      <c r="E87" s="11" t="n">
        <v>1</v>
      </c>
      <c r="F87" s="11" t="n">
        <v>2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88" ht="21" customHeight="1">
      <c r="A88" s="17" t="inlineStr">
        <is>
          <t>38777</t>
        </is>
      </c>
      <c r="B88" s="8" t="inlineStr">
        <is>
          <t>Parque la Mexicana</t>
        </is>
      </c>
      <c r="C88" s="8" t="inlineStr">
        <is>
          <t>Jose De Jesus Magos Arzaluz</t>
        </is>
      </c>
      <c r="D88" s="7" t="n">
        <v>2</v>
      </c>
      <c r="E88" s="7" t="n">
        <v>1</v>
      </c>
      <c r="F88" s="7" t="n">
        <v>3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89" ht="21" customHeight="1">
      <c r="A89" s="15" t="inlineStr">
        <is>
          <t>38810</t>
        </is>
      </c>
      <c r="B89" s="12" t="inlineStr">
        <is>
          <t>Plaza Centenario ( Tenaria)</t>
        </is>
      </c>
      <c r="C89" s="12" t="inlineStr">
        <is>
          <t>Jose De Jesus Magos Arzaluz</t>
        </is>
      </c>
      <c r="D89" s="11" t="n">
        <v>1</v>
      </c>
      <c r="E89" s="11" t="n">
        <v>1</v>
      </c>
      <c r="F89" s="11" t="n">
        <v>2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90" ht="21" customHeight="1">
      <c r="A90" s="17" t="inlineStr">
        <is>
          <t>38158</t>
        </is>
      </c>
      <c r="B90" s="8" t="inlineStr">
        <is>
          <t>Plaza Lilas</t>
        </is>
      </c>
      <c r="C90" s="8" t="inlineStr">
        <is>
          <t>Jose De Jesus Magos Arzaluz</t>
        </is>
      </c>
      <c r="D90" s="7" t="n">
        <v>1</v>
      </c>
      <c r="E90" s="7" t="n">
        <v>1</v>
      </c>
      <c r="F90" s="7" t="n">
        <v>2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91" ht="21" customHeight="1">
      <c r="A91" s="15" t="inlineStr">
        <is>
          <t>38390</t>
        </is>
      </c>
      <c r="B91" s="12" t="inlineStr">
        <is>
          <t>Samara I</t>
        </is>
      </c>
      <c r="C91" s="12" t="inlineStr">
        <is>
          <t>Jose De Jesus Magos Arzaluz</t>
        </is>
      </c>
      <c r="D91" s="11" t="n">
        <v>1</v>
      </c>
      <c r="E91" s="11" t="n">
        <v>1</v>
      </c>
      <c r="F91" s="11" t="n">
        <v>2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92" ht="21" customHeight="1">
      <c r="A92" s="17" t="inlineStr">
        <is>
          <t>38445</t>
        </is>
      </c>
      <c r="B92" s="8" t="inlineStr">
        <is>
          <t>Samara II</t>
        </is>
      </c>
      <c r="C92" s="8" t="inlineStr">
        <is>
          <t>Jose De Jesus Magos Arzaluz</t>
        </is>
      </c>
      <c r="D92" s="7" t="n">
        <v>3</v>
      </c>
      <c r="E92" s="7" t="n">
        <v>1</v>
      </c>
      <c r="F92" s="7" t="n">
        <v>4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93" ht="21" customHeight="1">
      <c r="A93" s="15" t="inlineStr">
        <is>
          <t>38166</t>
        </is>
      </c>
      <c r="B93" s="12" t="inlineStr">
        <is>
          <t>Superama SantaFe</t>
        </is>
      </c>
      <c r="C93" s="12" t="inlineStr">
        <is>
          <t>Jose De Jesus Magos Arzaluz</t>
        </is>
      </c>
      <c r="D93" s="11" t="n">
        <v>1</v>
      </c>
      <c r="E93" s="11" t="n">
        <v>1</v>
      </c>
      <c r="F93" s="11" t="n">
        <v>2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94" ht="21" customHeight="1">
      <c r="A94" s="17" t="inlineStr">
        <is>
          <t>38780</t>
        </is>
      </c>
      <c r="B94" s="8" t="inlineStr">
        <is>
          <t>Tec Santa Fe</t>
        </is>
      </c>
      <c r="C94" s="8" t="inlineStr">
        <is>
          <t>Jose De Jesus Magos Arzaluz</t>
        </is>
      </c>
      <c r="D94" s="7" t="n">
        <v>0</v>
      </c>
      <c r="E94" s="7" t="n">
        <v>1</v>
      </c>
      <c r="F94" s="7" t="n">
        <v>1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95" ht="21" customHeight="1">
      <c r="A95" s="15" t="inlineStr">
        <is>
          <t>38751</t>
        </is>
      </c>
      <c r="B95" s="12" t="inlineStr">
        <is>
          <t>Torre Zentrrum II</t>
        </is>
      </c>
      <c r="C95" s="12" t="inlineStr">
        <is>
          <t>Jose De Jesus Magos Arzaluz</t>
        </is>
      </c>
      <c r="D95" s="11" t="n">
        <v>2</v>
      </c>
      <c r="E95" s="11" t="n">
        <v>1</v>
      </c>
      <c r="F95" s="11" t="n">
        <v>3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96" ht="21" customHeight="1">
      <c r="A96" s="17" t="inlineStr">
        <is>
          <t>38715</t>
        </is>
      </c>
      <c r="B96" s="8" t="inlineStr">
        <is>
          <t>Av. Coyoacan DT only</t>
        </is>
      </c>
      <c r="C96" s="8" t="inlineStr">
        <is>
          <t>Juan Jesus Zuñiga Flores</t>
        </is>
      </c>
      <c r="D96" s="7" t="n">
        <v>2</v>
      </c>
      <c r="E96" s="7" t="n">
        <v>3</v>
      </c>
      <c r="F96" s="7" t="n">
        <v>5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97" ht="21" customHeight="1">
      <c r="A97" s="15" t="inlineStr">
        <is>
          <t>38372</t>
        </is>
      </c>
      <c r="B97" s="12" t="inlineStr">
        <is>
          <t>Felix Cuevas</t>
        </is>
      </c>
      <c r="C97" s="12" t="inlineStr">
        <is>
          <t>Juan Jesus Zuñiga Flores</t>
        </is>
      </c>
      <c r="D97" s="11" t="n">
        <v>2</v>
      </c>
      <c r="E97" s="11" t="n">
        <v>1</v>
      </c>
      <c r="F97" s="11" t="n">
        <v>3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98" ht="21" customHeight="1">
      <c r="A98" s="17" t="inlineStr">
        <is>
          <t>38549</t>
        </is>
      </c>
      <c r="B98" s="8" t="inlineStr">
        <is>
          <t>Galerias Insurgentes</t>
        </is>
      </c>
      <c r="C98" s="8" t="inlineStr">
        <is>
          <t>Juan Jesus Zuñiga Flores</t>
        </is>
      </c>
      <c r="D98" s="7" t="n">
        <v>2</v>
      </c>
      <c r="E98" s="7" t="n">
        <v>1</v>
      </c>
      <c r="F98" s="7" t="n">
        <v>3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99" ht="21" customHeight="1">
      <c r="A99" s="15" t="inlineStr">
        <is>
          <t>43105</t>
        </is>
      </c>
      <c r="B99" s="12" t="inlineStr">
        <is>
          <t>Insurgentes Capital</t>
        </is>
      </c>
      <c r="C99" s="12" t="inlineStr">
        <is>
          <t>Juan Jesus Zuñiga Flores</t>
        </is>
      </c>
      <c r="D99" s="11" t="n">
        <v>3</v>
      </c>
      <c r="E99" s="11" t="n">
        <v>1</v>
      </c>
      <c r="F99" s="11" t="n">
        <v>4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00" ht="21" customHeight="1">
      <c r="A100" s="17" t="inlineStr">
        <is>
          <t>38193</t>
        </is>
      </c>
      <c r="B100" s="8" t="inlineStr">
        <is>
          <t>Metropoli Patriotismo</t>
        </is>
      </c>
      <c r="C100" s="8" t="inlineStr">
        <is>
          <t>Juan Jesus Zuñiga Flores</t>
        </is>
      </c>
      <c r="D100" s="7" t="n">
        <v>2</v>
      </c>
      <c r="E100" s="7" t="n">
        <v>1</v>
      </c>
      <c r="F100" s="7" t="n">
        <v>3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01" ht="21" customHeight="1">
      <c r="A101" s="15" t="inlineStr">
        <is>
          <t>38416</t>
        </is>
      </c>
      <c r="B101" s="12" t="inlineStr">
        <is>
          <t>Mixcoac</t>
        </is>
      </c>
      <c r="C101" s="12" t="inlineStr">
        <is>
          <t>Juan Jesus Zuñiga Flores</t>
        </is>
      </c>
      <c r="D101" s="11" t="n">
        <v>2</v>
      </c>
      <c r="E101" s="11" t="n">
        <v>1</v>
      </c>
      <c r="F101" s="11" t="n">
        <v>3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02" ht="21" customHeight="1">
      <c r="A102" s="17" t="inlineStr">
        <is>
          <t>38530</t>
        </is>
      </c>
      <c r="B102" s="8" t="inlineStr">
        <is>
          <t>Narvarte</t>
        </is>
      </c>
      <c r="C102" s="8" t="inlineStr">
        <is>
          <t>Juan Jesus Zuñiga Flores</t>
        </is>
      </c>
      <c r="D102" s="7" t="n">
        <v>2</v>
      </c>
      <c r="E102" s="7" t="n">
        <v>2</v>
      </c>
      <c r="F102" s="7" t="n">
        <v>4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03" ht="21" customHeight="1">
      <c r="A103" s="15" t="inlineStr">
        <is>
          <t>38499</t>
        </is>
      </c>
      <c r="B103" s="12" t="inlineStr">
        <is>
          <t>Pennsylvania</t>
        </is>
      </c>
      <c r="C103" s="12" t="inlineStr">
        <is>
          <t>Juan Jesus Zuñiga Flores</t>
        </is>
      </c>
      <c r="D103" s="11" t="n">
        <v>1</v>
      </c>
      <c r="E103" s="11" t="n">
        <v>1</v>
      </c>
      <c r="F103" s="11" t="n">
        <v>2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04" ht="21" customHeight="1">
      <c r="A104" s="17" t="inlineStr">
        <is>
          <t>38587</t>
        </is>
      </c>
      <c r="B104" s="8" t="inlineStr">
        <is>
          <t>Plateros</t>
        </is>
      </c>
      <c r="C104" s="8" t="inlineStr">
        <is>
          <t>Juan Jesus Zuñiga Flores</t>
        </is>
      </c>
      <c r="D104" s="7" t="n">
        <v>2</v>
      </c>
      <c r="E104" s="7" t="n">
        <v>1</v>
      </c>
      <c r="F104" s="7" t="n">
        <v>3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05" ht="21" customHeight="1">
      <c r="A105" s="15" t="inlineStr">
        <is>
          <t>38951</t>
        </is>
      </c>
      <c r="B105" s="12" t="inlineStr">
        <is>
          <t>Universidad Panamericana</t>
        </is>
      </c>
      <c r="C105" s="12" t="inlineStr">
        <is>
          <t>Juan Jesus Zuñiga Flores</t>
        </is>
      </c>
      <c r="D105" s="11" t="n">
        <v>2</v>
      </c>
      <c r="E105" s="11" t="n">
        <v>1</v>
      </c>
      <c r="F105" s="11" t="n">
        <v>3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06" ht="21" customHeight="1">
      <c r="A106" s="17" t="inlineStr">
        <is>
          <t>38717</t>
        </is>
      </c>
      <c r="B106" s="8" t="inlineStr">
        <is>
          <t>Av Revolucion</t>
        </is>
      </c>
      <c r="C106" s="8" t="inlineStr">
        <is>
          <t>Manuel Alejandro Avila Molina</t>
        </is>
      </c>
      <c r="D106" s="7" t="n">
        <v>3</v>
      </c>
      <c r="E106" s="7" t="n">
        <v>3</v>
      </c>
      <c r="F106" s="7" t="n">
        <v>6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07" ht="21" customHeight="1">
      <c r="A107" s="15" t="inlineStr">
        <is>
          <t>38727</t>
        </is>
      </c>
      <c r="B107" s="12" t="inlineStr">
        <is>
          <t>Centro Tk</t>
        </is>
      </c>
      <c r="C107" s="12" t="inlineStr">
        <is>
          <t>Manuel Alejandro Avila Molina</t>
        </is>
      </c>
      <c r="D107" s="11" t="n">
        <v>1</v>
      </c>
      <c r="E107" s="11" t="n">
        <v>1</v>
      </c>
      <c r="F107" s="11" t="n">
        <v>2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08" ht="21" customHeight="1">
      <c r="A108" s="17" t="inlineStr">
        <is>
          <t>38773</t>
        </is>
      </c>
      <c r="B108" s="8" t="inlineStr">
        <is>
          <t>Colegio Americano</t>
        </is>
      </c>
      <c r="C108" s="8" t="inlineStr">
        <is>
          <t>Manuel Alejandro Avila Molina</t>
        </is>
      </c>
      <c r="D108" s="7" t="n">
        <v>1</v>
      </c>
      <c r="E108" s="7" t="n">
        <v>0</v>
      </c>
      <c r="F108" s="7" t="n">
        <v>1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09" ht="21" customHeight="1">
      <c r="A109" s="15" t="inlineStr">
        <is>
          <t>38709</t>
        </is>
      </c>
      <c r="B109" s="12" t="inlineStr">
        <is>
          <t>Corporativo Barranca</t>
        </is>
      </c>
      <c r="C109" s="12" t="inlineStr">
        <is>
          <t>Manuel Alejandro Avila Molina</t>
        </is>
      </c>
      <c r="D109" s="11" t="n">
        <v>2</v>
      </c>
      <c r="E109" s="11" t="n">
        <v>2</v>
      </c>
      <c r="F109" s="11" t="n">
        <v>4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10" ht="21" customHeight="1">
      <c r="A110" s="17" t="inlineStr">
        <is>
          <t>38386</t>
        </is>
      </c>
      <c r="B110" s="8" t="inlineStr">
        <is>
          <t>Duraznos</t>
        </is>
      </c>
      <c r="C110" s="8" t="inlineStr">
        <is>
          <t>Manuel Alejandro Avila Molina</t>
        </is>
      </c>
      <c r="D110" s="7" t="n">
        <v>1</v>
      </c>
      <c r="E110" s="7" t="n">
        <v>1</v>
      </c>
      <c r="F110" s="7" t="n">
        <v>2</v>
      </c>
      <c r="G110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11" ht="21" customHeight="1">
      <c r="A111" s="15" t="inlineStr">
        <is>
          <t>38461</t>
        </is>
      </c>
      <c r="B111" s="12" t="inlineStr">
        <is>
          <t>Fuente de Tritones</t>
        </is>
      </c>
      <c r="C111" s="12" t="inlineStr">
        <is>
          <t>Manuel Alejandro Avila Molina</t>
        </is>
      </c>
      <c r="D111" s="11" t="n">
        <v>2</v>
      </c>
      <c r="E111" s="11" t="n">
        <v>1</v>
      </c>
      <c r="F111" s="11" t="n">
        <v>3</v>
      </c>
      <c r="G111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12" ht="21" customHeight="1">
      <c r="A112" s="17" t="inlineStr">
        <is>
          <t>38121</t>
        </is>
      </c>
      <c r="B112" s="8" t="inlineStr">
        <is>
          <t>Herradura</t>
        </is>
      </c>
      <c r="C112" s="8" t="inlineStr">
        <is>
          <t>Manuel Alejandro Avila Molina</t>
        </is>
      </c>
      <c r="D112" s="7" t="n">
        <v>2</v>
      </c>
      <c r="E112" s="7" t="n">
        <v>1</v>
      </c>
      <c r="F112" s="7" t="n">
        <v>3</v>
      </c>
      <c r="G112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13" ht="21" customHeight="1">
      <c r="A113" s="15" t="inlineStr">
        <is>
          <t>38366</t>
        </is>
      </c>
      <c r="B113" s="12" t="inlineStr">
        <is>
          <t>Hospital ABC</t>
        </is>
      </c>
      <c r="C113" s="12" t="inlineStr">
        <is>
          <t>Manuel Alejandro Avila Molina</t>
        </is>
      </c>
      <c r="D113" s="11" t="n">
        <v>1</v>
      </c>
      <c r="E113" s="11" t="n">
        <v>0</v>
      </c>
      <c r="F113" s="11" t="n">
        <v>1</v>
      </c>
      <c r="G113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14" ht="21" customHeight="1">
      <c r="A114" s="17" t="inlineStr">
        <is>
          <t>38538</t>
        </is>
      </c>
      <c r="B114" s="8" t="inlineStr">
        <is>
          <t>Monte Pelvoux</t>
        </is>
      </c>
      <c r="C114" s="8" t="inlineStr">
        <is>
          <t>Manuel Alejandro Avila Molina</t>
        </is>
      </c>
      <c r="D114" s="7" t="n">
        <v>5</v>
      </c>
      <c r="E114" s="7" t="n">
        <v>1</v>
      </c>
      <c r="F114" s="7" t="n">
        <v>6</v>
      </c>
      <c r="G114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15" ht="21" customHeight="1">
      <c r="A115" s="15" t="inlineStr">
        <is>
          <t>43041</t>
        </is>
      </c>
      <c r="B115" s="12" t="inlineStr">
        <is>
          <t>Parque Aztlan</t>
        </is>
      </c>
      <c r="C115" s="12" t="inlineStr">
        <is>
          <t>Manuel Alejandro Avila Molina</t>
        </is>
      </c>
      <c r="D115" s="11" t="n">
        <v>2</v>
      </c>
      <c r="E115" s="11" t="n">
        <v>1</v>
      </c>
      <c r="F115" s="11" t="n">
        <v>3</v>
      </c>
      <c r="G115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16" ht="21" customHeight="1">
      <c r="A116" s="17" t="inlineStr">
        <is>
          <t>38722</t>
        </is>
      </c>
      <c r="B116" s="8" t="inlineStr">
        <is>
          <t>Patio Barranca N2</t>
        </is>
      </c>
      <c r="C116" s="8" t="inlineStr">
        <is>
          <t>Manuel Alejandro Avila Molina</t>
        </is>
      </c>
      <c r="D116" s="7" t="n">
        <v>2</v>
      </c>
      <c r="E116" s="7" t="n">
        <v>2</v>
      </c>
      <c r="F116" s="7" t="n">
        <v>4</v>
      </c>
      <c r="G116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17" ht="21" customHeight="1">
      <c r="A117" s="15" t="inlineStr">
        <is>
          <t>38720</t>
        </is>
      </c>
      <c r="B117" s="12" t="inlineStr">
        <is>
          <t>Patio Barranca PB</t>
        </is>
      </c>
      <c r="C117" s="12" t="inlineStr">
        <is>
          <t>Manuel Alejandro Avila Molina</t>
        </is>
      </c>
      <c r="D117" s="11" t="n">
        <v>2</v>
      </c>
      <c r="E117" s="11" t="n">
        <v>2</v>
      </c>
      <c r="F117" s="11" t="n">
        <v>4</v>
      </c>
      <c r="G117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18" ht="21" customHeight="1">
      <c r="A118" s="17" t="inlineStr">
        <is>
          <t>38644</t>
        </is>
      </c>
      <c r="B118" s="8" t="inlineStr">
        <is>
          <t>Torre Virreyes</t>
        </is>
      </c>
      <c r="C118" s="8" t="inlineStr">
        <is>
          <t>Manuel Alejandro Avila Molina</t>
        </is>
      </c>
      <c r="D118" s="7" t="n">
        <v>2</v>
      </c>
      <c r="E118" s="7" t="n">
        <v>1</v>
      </c>
      <c r="F118" s="7" t="n">
        <v>3</v>
      </c>
      <c r="G118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19" ht="21" customHeight="1">
      <c r="A119" s="18" t="n"/>
      <c r="B119" s="19" t="n"/>
      <c r="C119" s="19" t="inlineStr">
        <is>
          <t>Consolidado</t>
        </is>
      </c>
      <c r="D119" s="20">
        <f>SUM(D5:D118)</f>
        <v/>
      </c>
      <c r="E119" s="20">
        <f>SUM(E5:E118)</f>
        <v/>
      </c>
      <c r="F119" s="20">
        <f>SUM(F5:F118)</f>
        <v/>
      </c>
      <c r="G119" s="19" t="n"/>
    </row>
  </sheetData>
  <autoFilter ref="A4:G118"/>
  <mergeCells count="2">
    <mergeCell ref="A3:G3"/>
    <mergeCell ref="A1:G2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2026-09-19T21:51:49Z</dcterms:created>
  <dcterms:modified xsi:type="dcterms:W3CDTF">2026-09-19T21:51:49Z</dcterms:modified>
</cp:coreProperties>
</file>